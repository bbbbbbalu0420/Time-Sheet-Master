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46022.28472222222</v>
      </c>
      <c r="B2" s="3" t="inlineStr">
        <is>
          <t>КАЛИНИНА М.М.</t>
        </is>
      </c>
      <c r="C2" s="2" t="n">
        <v>46023.27986111111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46023.28194444445</v>
      </c>
      <c r="B3" s="7" t="inlineStr">
        <is>
          <t>КАЛИНИНА М.М.</t>
        </is>
      </c>
      <c r="C3" s="6" t="n">
        <v>46023.47986111111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46024.28263888889</v>
      </c>
      <c r="B4" s="3" t="inlineStr">
        <is>
          <t>КАЛИНИНА М.М.</t>
        </is>
      </c>
      <c r="C4" s="2" t="n">
        <v>46025.28611111111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46025.28680555556</v>
      </c>
      <c r="B5" s="7" t="inlineStr">
        <is>
          <t>КАЛИНИНА М.М.</t>
        </is>
      </c>
      <c r="C5" s="6" t="n">
        <v>46026.28055555555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46026.28194444445</v>
      </c>
      <c r="B6" s="3" t="inlineStr">
        <is>
          <t>КАЛИНИНА М.М.</t>
        </is>
      </c>
      <c r="C6" s="2" t="n">
        <v>46027.27638888889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46027.28680555556</v>
      </c>
      <c r="B7" s="7" t="inlineStr">
        <is>
          <t>КАЛИНИНА М.М.</t>
        </is>
      </c>
      <c r="C7" s="6" t="n">
        <v>46028.28402777778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46028.28472222222</v>
      </c>
      <c r="B8" s="3" t="inlineStr">
        <is>
          <t>КАЛИНИНА М.М.</t>
        </is>
      </c>
      <c r="C8" s="2" t="n">
        <v>46029.28055555555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46029.28263888889</v>
      </c>
      <c r="B9" s="7" t="inlineStr">
        <is>
          <t>КАЛИНИНА М.М.</t>
        </is>
      </c>
      <c r="C9" s="6" t="n">
        <v>46030.28263888889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46030.28402777778</v>
      </c>
      <c r="B10" s="3" t="inlineStr">
        <is>
          <t>КАЛИНИНА М.М.</t>
        </is>
      </c>
      <c r="C10" s="2" t="n">
        <v>46030.43680555555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46031.27916666667</v>
      </c>
      <c r="B11" s="7" t="inlineStr">
        <is>
          <t>КАЛИНИНА М.М.</t>
        </is>
      </c>
      <c r="C11" s="6" t="n">
        <v>46031.57777777778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46032.28958333333</v>
      </c>
      <c r="B12" s="3" t="inlineStr">
        <is>
          <t>КАЛИНИНА М.М.</t>
        </is>
      </c>
      <c r="C12" s="2" t="n">
        <v>46033.29097222222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46033.29236111111</v>
      </c>
      <c r="B13" s="7" t="inlineStr">
        <is>
          <t>КАЛИНИНА М.М.</t>
        </is>
      </c>
      <c r="C13" s="6" t="n">
        <v>46033.49722222222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46034.28541666667</v>
      </c>
      <c r="B14" s="3" t="inlineStr">
        <is>
          <t>КАЛИНИНА М.М.</t>
        </is>
      </c>
      <c r="C14" s="2" t="n">
        <v>46035.28263888889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46035.31527777778</v>
      </c>
      <c r="B15" s="7" t="inlineStr">
        <is>
          <t>КАЛИНИНА М.М.</t>
        </is>
      </c>
      <c r="C15" s="6" t="n">
        <v>46036.28055555555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46036.28402777778</v>
      </c>
      <c r="B16" s="3" t="inlineStr">
        <is>
          <t>КАЛИНИНА М.М.</t>
        </is>
      </c>
      <c r="C16" s="2" t="n">
        <v>46036.84652777778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46037.2875</v>
      </c>
      <c r="B17" s="7" t="inlineStr">
        <is>
          <t>КАЛИНИНА М.М.</t>
        </is>
      </c>
      <c r="C17" s="6" t="n">
        <v>46037.69791666666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46038.2875</v>
      </c>
      <c r="B18" s="3" t="inlineStr">
        <is>
          <t>КАЛИНИНА М.М.</t>
        </is>
      </c>
      <c r="C18" s="2" t="n">
        <v>46038.28819444445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46038.28819444445</v>
      </c>
      <c r="B19" s="7" t="inlineStr">
        <is>
          <t>КАЛИНИНА М.М.</t>
        </is>
      </c>
      <c r="C19" s="6" t="n">
        <v>46038.64444444444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46039.29583333333</v>
      </c>
      <c r="B20" s="3" t="inlineStr">
        <is>
          <t>КАССИР 27</t>
        </is>
      </c>
      <c r="C20" s="2" t="n">
        <v>46039.67569444444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46040.28541666667</v>
      </c>
      <c r="B21" s="7" t="inlineStr">
        <is>
          <t>КАССИР 27</t>
        </is>
      </c>
      <c r="C21" s="6" t="n">
        <v>46041.27569444444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46041.29027777778</v>
      </c>
      <c r="B22" s="3" t="inlineStr">
        <is>
          <t>КАССИР 27</t>
        </is>
      </c>
      <c r="C22" s="2" t="n">
        <v>46042.27916666667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46042.28263888889</v>
      </c>
      <c r="B23" s="7" t="inlineStr">
        <is>
          <t>КАССИР 27</t>
        </is>
      </c>
      <c r="C23" s="6" t="n">
        <v>46042.59166666667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46043.28402777778</v>
      </c>
      <c r="B24" s="3" t="inlineStr">
        <is>
          <t>КАЛИНИНА М.М.</t>
        </is>
      </c>
      <c r="C24" s="2" t="n">
        <v>46043.53888888889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46044.28472222222</v>
      </c>
      <c r="B25" s="7" t="inlineStr">
        <is>
          <t>КАЛИНИНА М.М.</t>
        </is>
      </c>
      <c r="C25" s="6" t="n">
        <v>46045.28958333333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46045.29027777778</v>
      </c>
      <c r="B26" s="3" t="inlineStr">
        <is>
          <t>КАЛИНИНА М.М.</t>
        </is>
      </c>
      <c r="C26" s="2" t="n">
        <v>46046.28333333333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46046.28333333333</v>
      </c>
      <c r="B27" s="7" t="inlineStr">
        <is>
          <t>КАЛИНИНА М.М.</t>
        </is>
      </c>
      <c r="C27" s="6" t="n">
        <v>46046.95347222222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46047.28680555556</v>
      </c>
      <c r="B28" s="3" t="inlineStr">
        <is>
          <t>КАЛИНИНА М.М.</t>
        </is>
      </c>
      <c r="C28" s="2" t="n">
        <v>46047.5125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46048.28055555555</v>
      </c>
      <c r="B29" s="7" t="inlineStr">
        <is>
          <t>КАЛИНИНА М.М.</t>
        </is>
      </c>
      <c r="C29" s="6" t="n">
        <v>46048.54930555556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46049.29305555556</v>
      </c>
      <c r="B30" s="3" t="inlineStr">
        <is>
          <t>КАЛИНИНА М.М.</t>
        </is>
      </c>
      <c r="C30" s="2" t="n">
        <v>46049.48888888889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46050.28402777778</v>
      </c>
      <c r="B31" s="7" t="inlineStr">
        <is>
          <t>КАЛИНИНА М.М.</t>
        </is>
      </c>
      <c r="C31" s="6" t="n">
        <v>46050.65694444445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46051.28611111111</v>
      </c>
      <c r="B32" s="3" t="inlineStr">
        <is>
          <t>КАЛИНИНА М.М.</t>
        </is>
      </c>
      <c r="C32" s="2" t="n">
        <v>46051.61944444444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46052.28472222222</v>
      </c>
      <c r="B33" s="7" t="inlineStr">
        <is>
          <t>КАЛИНИНА М.М.</t>
        </is>
      </c>
      <c r="C33" s="6" t="n">
        <v>46053.28125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A34" s="2" t="n">
        <v>46053.42916666667</v>
      </c>
      <c r="B34" s="3" t="inlineStr">
        <is>
          <t>КАЛИНИНА М.М.</t>
        </is>
      </c>
      <c r="C34" s="2" t="n">
        <v>46054.26111111111</v>
      </c>
      <c r="D34" s="4">
        <f>TEXT(INT((C34-A34)*24),"00")&amp;":"&amp;TEXT(MOD((C34-A34)*1440,60),"00")</f>
        <v/>
      </c>
      <c r="E34" s="4">
        <f>IF(MOD((C34-A34)*1440,60)&gt;=15,INT((C34-A34)*24)+1,INT((C34-A34)*24))</f>
        <v/>
      </c>
      <c r="F34" s="4">
        <f>IF(E34&gt;12,2,1)</f>
        <v/>
      </c>
      <c r="G34" s="5">
        <f>MAX(0,E34-F34)</f>
        <v/>
      </c>
    </row>
    <row r="35">
      <c r="A35" s="6" t="n">
        <v>46054.275</v>
      </c>
      <c r="B35" s="7" t="inlineStr">
        <is>
          <t>КАЛИНИНА М.М.</t>
        </is>
      </c>
      <c r="C35" s="6" t="n">
        <v>46054.61458333334</v>
      </c>
      <c r="D35" s="8">
        <f>TEXT(INT((C35-A35)*24),"00")&amp;":"&amp;TEXT(MOD((C35-A35)*1440,60),"00")</f>
        <v/>
      </c>
      <c r="E35" s="8">
        <f>IF(MOD((C35-A35)*1440,60)&gt;=15,INT((C35-A35)*24)+1,INT((C35-A35)*24))</f>
        <v/>
      </c>
      <c r="F35" s="8">
        <f>IF(E35&gt;12,2,1)</f>
        <v/>
      </c>
      <c r="G35" s="9">
        <f>MAX(0,E35-F35)</f>
        <v/>
      </c>
    </row>
    <row r="36">
      <c r="F36" s="10" t="inlineStr">
        <is>
          <t>ИТОГО:</t>
        </is>
      </c>
      <c r="G36" s="11">
        <f>SUM(G2:G35)</f>
        <v/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2026-03-28T11:43:43Z</dcterms:created>
  <dcterms:modified xsi:type="dcterms:W3CDTF">2026-03-28T11:43:43Z</dcterms:modified>
</cp:coreProperties>
</file>
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едомость" sheetId="1" state="visible" r:id="rId1"/>
  </sheets>
  <definedNames>
    <definedName name="_xlnm._FilterDatabase" localSheetId="0" hidden="1">'Ведомость'!$A$1:$G$34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 HH:MM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b val="1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top style="double">
        <color rgb="004472C4"/>
      </top>
      <bottom style="double">
        <color rgb="004472C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6" customWidth="1" min="3" max="3"/>
    <col width="12" customWidth="1" min="4" max="4"/>
    <col width="16" customWidth="1" min="5" max="5"/>
    <col width="10" customWidth="1" min="6" max="6"/>
    <col width="16" customWidth="1" min="7" max="7"/>
  </cols>
  <sheetData>
    <row r="1">
      <c r="A1" s="1" t="inlineStr">
        <is>
          <t>Дата открытия</t>
        </is>
      </c>
      <c r="B1" s="1" t="inlineStr">
        <is>
          <t>Кассир</t>
        </is>
      </c>
      <c r="C1" s="1" t="inlineStr">
        <is>
          <t>Время последнего чека</t>
        </is>
      </c>
      <c r="D1" s="1" t="inlineStr">
        <is>
          <t>ВСЕГО</t>
        </is>
      </c>
      <c r="E1" s="1" t="inlineStr">
        <is>
          <t>ОКРУГЛЕНИЕ</t>
        </is>
      </c>
      <c r="F1" s="1" t="inlineStr">
        <is>
          <t>ОБЕД</t>
        </is>
      </c>
      <c r="G1" s="1" t="inlineStr">
        <is>
          <t>НАЧИСЛЕНО</t>
        </is>
      </c>
    </row>
    <row r="2">
      <c r="A2" s="2" t="n">
        <v>46022.29305555556</v>
      </c>
      <c r="B2" s="3" t="inlineStr">
        <is>
          <t>Менеджер</t>
        </is>
      </c>
      <c r="C2" s="2" t="n">
        <v>46023.19444444445</v>
      </c>
      <c r="D2" s="4">
        <f>TEXT(INT((C2-A2)*24),"00")&amp;":"&amp;TEXT(MOD((C2-A2)*1440,60),"00")</f>
        <v/>
      </c>
      <c r="E2" s="4">
        <f>IF(MOD((C2-A2)*1440,60)&gt;=15,INT((C2-A2)*24)+1,INT((C2-A2)*24))</f>
        <v/>
      </c>
      <c r="F2" s="4">
        <f>IF(E2&gt;12,2,1)</f>
        <v/>
      </c>
      <c r="G2" s="5">
        <f>MAX(0,E2-F2)</f>
        <v/>
      </c>
    </row>
    <row r="3">
      <c r="A3" s="6" t="n">
        <v>46023.35555555556</v>
      </c>
      <c r="B3" s="7" t="inlineStr">
        <is>
          <t>Менеджер</t>
        </is>
      </c>
      <c r="C3" s="6" t="n">
        <v>46024.27083333334</v>
      </c>
      <c r="D3" s="8">
        <f>TEXT(INT((C3-A3)*24),"00")&amp;":"&amp;TEXT(MOD((C3-A3)*1440,60),"00")</f>
        <v/>
      </c>
      <c r="E3" s="8">
        <f>IF(MOD((C3-A3)*1440,60)&gt;=15,INT((C3-A3)*24)+1,INT((C3-A3)*24))</f>
        <v/>
      </c>
      <c r="F3" s="8">
        <f>IF(E3&gt;12,2,1)</f>
        <v/>
      </c>
      <c r="G3" s="9">
        <f>MAX(0,E3-F3)</f>
        <v/>
      </c>
    </row>
    <row r="4">
      <c r="A4" s="2" t="n">
        <v>46024.29166666666</v>
      </c>
      <c r="B4" s="3" t="inlineStr">
        <is>
          <t>Менеджер</t>
        </is>
      </c>
      <c r="C4" s="2" t="n">
        <v>46025.25277777778</v>
      </c>
      <c r="D4" s="4">
        <f>TEXT(INT((C4-A4)*24),"00")&amp;":"&amp;TEXT(MOD((C4-A4)*1440,60),"00")</f>
        <v/>
      </c>
      <c r="E4" s="4">
        <f>IF(MOD((C4-A4)*1440,60)&gt;=15,INT((C4-A4)*24)+1,INT((C4-A4)*24))</f>
        <v/>
      </c>
      <c r="F4" s="4">
        <f>IF(E4&gt;12,2,1)</f>
        <v/>
      </c>
      <c r="G4" s="5">
        <f>MAX(0,E4-F4)</f>
        <v/>
      </c>
    </row>
    <row r="5">
      <c r="A5" s="6" t="n">
        <v>46025.28958333333</v>
      </c>
      <c r="B5" s="7" t="inlineStr">
        <is>
          <t>Менеджер</t>
        </is>
      </c>
      <c r="C5" s="6" t="n">
        <v>46026.25138888889</v>
      </c>
      <c r="D5" s="8">
        <f>TEXT(INT((C5-A5)*24),"00")&amp;":"&amp;TEXT(MOD((C5-A5)*1440,60),"00")</f>
        <v/>
      </c>
      <c r="E5" s="8">
        <f>IF(MOD((C5-A5)*1440,60)&gt;=15,INT((C5-A5)*24)+1,INT((C5-A5)*24))</f>
        <v/>
      </c>
      <c r="F5" s="8">
        <f>IF(E5&gt;12,2,1)</f>
        <v/>
      </c>
      <c r="G5" s="9">
        <f>MAX(0,E5-F5)</f>
        <v/>
      </c>
    </row>
    <row r="6">
      <c r="A6" s="2" t="n">
        <v>46026.32152777778</v>
      </c>
      <c r="B6" s="3" t="inlineStr">
        <is>
          <t>Менеджер</t>
        </is>
      </c>
      <c r="C6" s="2" t="n">
        <v>46027.28055555555</v>
      </c>
      <c r="D6" s="4">
        <f>TEXT(INT((C6-A6)*24),"00")&amp;":"&amp;TEXT(MOD((C6-A6)*1440,60),"00")</f>
        <v/>
      </c>
      <c r="E6" s="4">
        <f>IF(MOD((C6-A6)*1440,60)&gt;=15,INT((C6-A6)*24)+1,INT((C6-A6)*24))</f>
        <v/>
      </c>
      <c r="F6" s="4">
        <f>IF(E6&gt;12,2,1)</f>
        <v/>
      </c>
      <c r="G6" s="5">
        <f>MAX(0,E6-F6)</f>
        <v/>
      </c>
    </row>
    <row r="7">
      <c r="A7" s="6" t="n">
        <v>46027.29375</v>
      </c>
      <c r="B7" s="7" t="inlineStr">
        <is>
          <t>Менеджер</t>
        </is>
      </c>
      <c r="C7" s="6" t="n">
        <v>46028.26875</v>
      </c>
      <c r="D7" s="8">
        <f>TEXT(INT((C7-A7)*24),"00")&amp;":"&amp;TEXT(MOD((C7-A7)*1440,60),"00")</f>
        <v/>
      </c>
      <c r="E7" s="8">
        <f>IF(MOD((C7-A7)*1440,60)&gt;=15,INT((C7-A7)*24)+1,INT((C7-A7)*24))</f>
        <v/>
      </c>
      <c r="F7" s="8">
        <f>IF(E7&gt;12,2,1)</f>
        <v/>
      </c>
      <c r="G7" s="9">
        <f>MAX(0,E7-F7)</f>
        <v/>
      </c>
    </row>
    <row r="8">
      <c r="A8" s="2" t="n">
        <v>46028.29930555556</v>
      </c>
      <c r="B8" s="3" t="inlineStr">
        <is>
          <t>Менеджер</t>
        </is>
      </c>
      <c r="C8" s="2" t="n">
        <v>46029.27986111111</v>
      </c>
      <c r="D8" s="4">
        <f>TEXT(INT((C8-A8)*24),"00")&amp;":"&amp;TEXT(MOD((C8-A8)*1440,60),"00")</f>
        <v/>
      </c>
      <c r="E8" s="4">
        <f>IF(MOD((C8-A8)*1440,60)&gt;=15,INT((C8-A8)*24)+1,INT((C8-A8)*24))</f>
        <v/>
      </c>
      <c r="F8" s="4">
        <f>IF(E8&gt;12,2,1)</f>
        <v/>
      </c>
      <c r="G8" s="5">
        <f>MAX(0,E8-F8)</f>
        <v/>
      </c>
    </row>
    <row r="9">
      <c r="A9" s="6" t="n">
        <v>46029.29375</v>
      </c>
      <c r="B9" s="7" t="inlineStr">
        <is>
          <t>Менеджер</t>
        </is>
      </c>
      <c r="C9" s="6" t="n">
        <v>46030.27152777778</v>
      </c>
      <c r="D9" s="8">
        <f>TEXT(INT((C9-A9)*24),"00")&amp;":"&amp;TEXT(MOD((C9-A9)*1440,60),"00")</f>
        <v/>
      </c>
      <c r="E9" s="8">
        <f>IF(MOD((C9-A9)*1440,60)&gt;=15,INT((C9-A9)*24)+1,INT((C9-A9)*24))</f>
        <v/>
      </c>
      <c r="F9" s="8">
        <f>IF(E9&gt;12,2,1)</f>
        <v/>
      </c>
      <c r="G9" s="9">
        <f>MAX(0,E9-F9)</f>
        <v/>
      </c>
    </row>
    <row r="10">
      <c r="A10" s="2" t="n">
        <v>46030.29583333333</v>
      </c>
      <c r="B10" s="3" t="inlineStr">
        <is>
          <t>Менеджер</t>
        </is>
      </c>
      <c r="C10" s="2" t="n">
        <v>46031.28819444445</v>
      </c>
      <c r="D10" s="4">
        <f>TEXT(INT((C10-A10)*24),"00")&amp;":"&amp;TEXT(MOD((C10-A10)*1440,60),"00")</f>
        <v/>
      </c>
      <c r="E10" s="4">
        <f>IF(MOD((C10-A10)*1440,60)&gt;=15,INT((C10-A10)*24)+1,INT((C10-A10)*24))</f>
        <v/>
      </c>
      <c r="F10" s="4">
        <f>IF(E10&gt;12,2,1)</f>
        <v/>
      </c>
      <c r="G10" s="5">
        <f>MAX(0,E10-F10)</f>
        <v/>
      </c>
    </row>
    <row r="11">
      <c r="A11" s="6" t="n">
        <v>46031.35625</v>
      </c>
      <c r="B11" s="7" t="inlineStr">
        <is>
          <t>Менеджер</t>
        </is>
      </c>
      <c r="C11" s="6" t="n">
        <v>46032.27569444444</v>
      </c>
      <c r="D11" s="8">
        <f>TEXT(INT((C11-A11)*24),"00")&amp;":"&amp;TEXT(MOD((C11-A11)*1440,60),"00")</f>
        <v/>
      </c>
      <c r="E11" s="8">
        <f>IF(MOD((C11-A11)*1440,60)&gt;=15,INT((C11-A11)*24)+1,INT((C11-A11)*24))</f>
        <v/>
      </c>
      <c r="F11" s="8">
        <f>IF(E11&gt;12,2,1)</f>
        <v/>
      </c>
      <c r="G11" s="9">
        <f>MAX(0,E11-F11)</f>
        <v/>
      </c>
    </row>
    <row r="12">
      <c r="A12" s="2" t="n">
        <v>46032.28888888889</v>
      </c>
      <c r="B12" s="3" t="inlineStr">
        <is>
          <t>Менеджер</t>
        </is>
      </c>
      <c r="C12" s="2" t="n">
        <v>46033.28541666667</v>
      </c>
      <c r="D12" s="4">
        <f>TEXT(INT((C12-A12)*24),"00")&amp;":"&amp;TEXT(MOD((C12-A12)*1440,60),"00")</f>
        <v/>
      </c>
      <c r="E12" s="4">
        <f>IF(MOD((C12-A12)*1440,60)&gt;=15,INT((C12-A12)*24)+1,INT((C12-A12)*24))</f>
        <v/>
      </c>
      <c r="F12" s="4">
        <f>IF(E12&gt;12,2,1)</f>
        <v/>
      </c>
      <c r="G12" s="5">
        <f>MAX(0,E12-F12)</f>
        <v/>
      </c>
    </row>
    <row r="13">
      <c r="A13" s="6" t="n">
        <v>46033.29166666666</v>
      </c>
      <c r="B13" s="7" t="inlineStr">
        <is>
          <t>Менеджер</t>
        </is>
      </c>
      <c r="C13" s="6" t="n">
        <v>46034.28611111111</v>
      </c>
      <c r="D13" s="8">
        <f>TEXT(INT((C13-A13)*24),"00")&amp;":"&amp;TEXT(MOD((C13-A13)*1440,60),"00")</f>
        <v/>
      </c>
      <c r="E13" s="8">
        <f>IF(MOD((C13-A13)*1440,60)&gt;=15,INT((C13-A13)*24)+1,INT((C13-A13)*24))</f>
        <v/>
      </c>
      <c r="F13" s="8">
        <f>IF(E13&gt;12,2,1)</f>
        <v/>
      </c>
      <c r="G13" s="9">
        <f>MAX(0,E13-F13)</f>
        <v/>
      </c>
    </row>
    <row r="14">
      <c r="A14" s="2" t="n">
        <v>46034.30208333334</v>
      </c>
      <c r="B14" s="3" t="inlineStr">
        <is>
          <t>Менеджер</t>
        </is>
      </c>
      <c r="C14" s="2" t="n">
        <v>46035.28680555556</v>
      </c>
      <c r="D14" s="4">
        <f>TEXT(INT((C14-A14)*24),"00")&amp;":"&amp;TEXT(MOD((C14-A14)*1440,60),"00")</f>
        <v/>
      </c>
      <c r="E14" s="4">
        <f>IF(MOD((C14-A14)*1440,60)&gt;=15,INT((C14-A14)*24)+1,INT((C14-A14)*24))</f>
        <v/>
      </c>
      <c r="F14" s="4">
        <f>IF(E14&gt;12,2,1)</f>
        <v/>
      </c>
      <c r="G14" s="5">
        <f>MAX(0,E14-F14)</f>
        <v/>
      </c>
    </row>
    <row r="15">
      <c r="A15" s="6" t="n">
        <v>46035.28888888889</v>
      </c>
      <c r="B15" s="7" t="inlineStr">
        <is>
          <t>Менеджер</t>
        </is>
      </c>
      <c r="C15" s="6" t="n">
        <v>46036.28263888889</v>
      </c>
      <c r="D15" s="8">
        <f>TEXT(INT((C15-A15)*24),"00")&amp;":"&amp;TEXT(MOD((C15-A15)*1440,60),"00")</f>
        <v/>
      </c>
      <c r="E15" s="8">
        <f>IF(MOD((C15-A15)*1440,60)&gt;=15,INT((C15-A15)*24)+1,INT((C15-A15)*24))</f>
        <v/>
      </c>
      <c r="F15" s="8">
        <f>IF(E15&gt;12,2,1)</f>
        <v/>
      </c>
      <c r="G15" s="9">
        <f>MAX(0,E15-F15)</f>
        <v/>
      </c>
    </row>
    <row r="16">
      <c r="A16" s="2" t="n">
        <v>46036.31388888889</v>
      </c>
      <c r="B16" s="3" t="inlineStr">
        <is>
          <t>Менеджер</t>
        </is>
      </c>
      <c r="C16" s="2" t="n">
        <v>46037.275</v>
      </c>
      <c r="D16" s="4">
        <f>TEXT(INT((C16-A16)*24),"00")&amp;":"&amp;TEXT(MOD((C16-A16)*1440,60),"00")</f>
        <v/>
      </c>
      <c r="E16" s="4">
        <f>IF(MOD((C16-A16)*1440,60)&gt;=15,INT((C16-A16)*24)+1,INT((C16-A16)*24))</f>
        <v/>
      </c>
      <c r="F16" s="4">
        <f>IF(E16&gt;12,2,1)</f>
        <v/>
      </c>
      <c r="G16" s="5">
        <f>MAX(0,E16-F16)</f>
        <v/>
      </c>
    </row>
    <row r="17">
      <c r="A17" s="6" t="n">
        <v>46037.29305555556</v>
      </c>
      <c r="B17" s="7" t="inlineStr">
        <is>
          <t>Менеджер</t>
        </is>
      </c>
      <c r="C17" s="6" t="n">
        <v>46038.28819444445</v>
      </c>
      <c r="D17" s="8">
        <f>TEXT(INT((C17-A17)*24),"00")&amp;":"&amp;TEXT(MOD((C17-A17)*1440,60),"00")</f>
        <v/>
      </c>
      <c r="E17" s="8">
        <f>IF(MOD((C17-A17)*1440,60)&gt;=15,INT((C17-A17)*24)+1,INT((C17-A17)*24))</f>
        <v/>
      </c>
      <c r="F17" s="8">
        <f>IF(E17&gt;12,2,1)</f>
        <v/>
      </c>
      <c r="G17" s="9">
        <f>MAX(0,E17-F17)</f>
        <v/>
      </c>
    </row>
    <row r="18">
      <c r="A18" s="2" t="n">
        <v>46038.29166666666</v>
      </c>
      <c r="B18" s="3" t="inlineStr">
        <is>
          <t>Менеджер</t>
        </is>
      </c>
      <c r="C18" s="2" t="n">
        <v>46039.27916666667</v>
      </c>
      <c r="D18" s="4">
        <f>TEXT(INT((C18-A18)*24),"00")&amp;":"&amp;TEXT(MOD((C18-A18)*1440,60),"00")</f>
        <v/>
      </c>
      <c r="E18" s="4">
        <f>IF(MOD((C18-A18)*1440,60)&gt;=15,INT((C18-A18)*24)+1,INT((C18-A18)*24))</f>
        <v/>
      </c>
      <c r="F18" s="4">
        <f>IF(E18&gt;12,2,1)</f>
        <v/>
      </c>
      <c r="G18" s="5">
        <f>MAX(0,E18-F18)</f>
        <v/>
      </c>
    </row>
    <row r="19">
      <c r="A19" s="6" t="n">
        <v>46039.28958333333</v>
      </c>
      <c r="B19" s="7" t="inlineStr">
        <is>
          <t>Менеджер</t>
        </is>
      </c>
      <c r="C19" s="6" t="n">
        <v>46040.26111111111</v>
      </c>
      <c r="D19" s="8">
        <f>TEXT(INT((C19-A19)*24),"00")&amp;":"&amp;TEXT(MOD((C19-A19)*1440,60),"00")</f>
        <v/>
      </c>
      <c r="E19" s="8">
        <f>IF(MOD((C19-A19)*1440,60)&gt;=15,INT((C19-A19)*24)+1,INT((C19-A19)*24))</f>
        <v/>
      </c>
      <c r="F19" s="8">
        <f>IF(E19&gt;12,2,1)</f>
        <v/>
      </c>
      <c r="G19" s="9">
        <f>MAX(0,E19-F19)</f>
        <v/>
      </c>
    </row>
    <row r="20">
      <c r="A20" s="2" t="n">
        <v>46040.34861111111</v>
      </c>
      <c r="B20" s="3" t="inlineStr">
        <is>
          <t>Менеджер</t>
        </is>
      </c>
      <c r="C20" s="2" t="n">
        <v>46041.27777777778</v>
      </c>
      <c r="D20" s="4">
        <f>TEXT(INT((C20-A20)*24),"00")&amp;":"&amp;TEXT(MOD((C20-A20)*1440,60),"00")</f>
        <v/>
      </c>
      <c r="E20" s="4">
        <f>IF(MOD((C20-A20)*1440,60)&gt;=15,INT((C20-A20)*24)+1,INT((C20-A20)*24))</f>
        <v/>
      </c>
      <c r="F20" s="4">
        <f>IF(E20&gt;12,2,1)</f>
        <v/>
      </c>
      <c r="G20" s="5">
        <f>MAX(0,E20-F20)</f>
        <v/>
      </c>
    </row>
    <row r="21">
      <c r="A21" s="6" t="n">
        <v>46041.32291666666</v>
      </c>
      <c r="B21" s="7" t="inlineStr">
        <is>
          <t>Менеджер</t>
        </is>
      </c>
      <c r="C21" s="6" t="n">
        <v>46042.28680555556</v>
      </c>
      <c r="D21" s="8">
        <f>TEXT(INT((C21-A21)*24),"00")&amp;":"&amp;TEXT(MOD((C21-A21)*1440,60),"00")</f>
        <v/>
      </c>
      <c r="E21" s="8">
        <f>IF(MOD((C21-A21)*1440,60)&gt;=15,INT((C21-A21)*24)+1,INT((C21-A21)*24))</f>
        <v/>
      </c>
      <c r="F21" s="8">
        <f>IF(E21&gt;12,2,1)</f>
        <v/>
      </c>
      <c r="G21" s="9">
        <f>MAX(0,E21-F21)</f>
        <v/>
      </c>
    </row>
    <row r="22">
      <c r="A22" s="2" t="n">
        <v>46042.29583333333</v>
      </c>
      <c r="B22" s="3" t="inlineStr">
        <is>
          <t>Менеджер</t>
        </is>
      </c>
      <c r="C22" s="2" t="n">
        <v>46043.27847222222</v>
      </c>
      <c r="D22" s="4">
        <f>TEXT(INT((C22-A22)*24),"00")&amp;":"&amp;TEXT(MOD((C22-A22)*1440,60),"00")</f>
        <v/>
      </c>
      <c r="E22" s="4">
        <f>IF(MOD((C22-A22)*1440,60)&gt;=15,INT((C22-A22)*24)+1,INT((C22-A22)*24))</f>
        <v/>
      </c>
      <c r="F22" s="4">
        <f>IF(E22&gt;12,2,1)</f>
        <v/>
      </c>
      <c r="G22" s="5">
        <f>MAX(0,E22-F22)</f>
        <v/>
      </c>
    </row>
    <row r="23">
      <c r="A23" s="6" t="n">
        <v>46043.32083333333</v>
      </c>
      <c r="B23" s="7" t="inlineStr">
        <is>
          <t>Менеджер</t>
        </is>
      </c>
      <c r="C23" s="6" t="n">
        <v>46044.27986111111</v>
      </c>
      <c r="D23" s="8">
        <f>TEXT(INT((C23-A23)*24),"00")&amp;":"&amp;TEXT(MOD((C23-A23)*1440,60),"00")</f>
        <v/>
      </c>
      <c r="E23" s="8">
        <f>IF(MOD((C23-A23)*1440,60)&gt;=15,INT((C23-A23)*24)+1,INT((C23-A23)*24))</f>
        <v/>
      </c>
      <c r="F23" s="8">
        <f>IF(E23&gt;12,2,1)</f>
        <v/>
      </c>
      <c r="G23" s="9">
        <f>MAX(0,E23-F23)</f>
        <v/>
      </c>
    </row>
    <row r="24">
      <c r="A24" s="2" t="n">
        <v>46044.30694444444</v>
      </c>
      <c r="B24" s="3" t="inlineStr">
        <is>
          <t>Менеджер</t>
        </is>
      </c>
      <c r="C24" s="2" t="n">
        <v>46045.26319444444</v>
      </c>
      <c r="D24" s="4">
        <f>TEXT(INT((C24-A24)*24),"00")&amp;":"&amp;TEXT(MOD((C24-A24)*1440,60),"00")</f>
        <v/>
      </c>
      <c r="E24" s="4">
        <f>IF(MOD((C24-A24)*1440,60)&gt;=15,INT((C24-A24)*24)+1,INT((C24-A24)*24))</f>
        <v/>
      </c>
      <c r="F24" s="4">
        <f>IF(E24&gt;12,2,1)</f>
        <v/>
      </c>
      <c r="G24" s="5">
        <f>MAX(0,E24-F24)</f>
        <v/>
      </c>
    </row>
    <row r="25">
      <c r="A25" s="6" t="n">
        <v>46045.29583333333</v>
      </c>
      <c r="B25" s="7" t="inlineStr">
        <is>
          <t>Менеджер</t>
        </is>
      </c>
      <c r="C25" s="6" t="n">
        <v>46046.27777777778</v>
      </c>
      <c r="D25" s="8">
        <f>TEXT(INT((C25-A25)*24),"00")&amp;":"&amp;TEXT(MOD((C25-A25)*1440,60),"00")</f>
        <v/>
      </c>
      <c r="E25" s="8">
        <f>IF(MOD((C25-A25)*1440,60)&gt;=15,INT((C25-A25)*24)+1,INT((C25-A25)*24))</f>
        <v/>
      </c>
      <c r="F25" s="8">
        <f>IF(E25&gt;12,2,1)</f>
        <v/>
      </c>
      <c r="G25" s="9">
        <f>MAX(0,E25-F25)</f>
        <v/>
      </c>
    </row>
    <row r="26">
      <c r="A26" s="2" t="n">
        <v>46046.29444444444</v>
      </c>
      <c r="B26" s="3" t="inlineStr">
        <is>
          <t>Менеджер</t>
        </is>
      </c>
      <c r="C26" s="2" t="n">
        <v>46047.28541666667</v>
      </c>
      <c r="D26" s="4">
        <f>TEXT(INT((C26-A26)*24),"00")&amp;":"&amp;TEXT(MOD((C26-A26)*1440,60),"00")</f>
        <v/>
      </c>
      <c r="E26" s="4">
        <f>IF(MOD((C26-A26)*1440,60)&gt;=15,INT((C26-A26)*24)+1,INT((C26-A26)*24))</f>
        <v/>
      </c>
      <c r="F26" s="4">
        <f>IF(E26&gt;12,2,1)</f>
        <v/>
      </c>
      <c r="G26" s="5">
        <f>MAX(0,E26-F26)</f>
        <v/>
      </c>
    </row>
    <row r="27">
      <c r="A27" s="6" t="n">
        <v>46047.32777777778</v>
      </c>
      <c r="B27" s="7" t="inlineStr">
        <is>
          <t>Менеджер</t>
        </is>
      </c>
      <c r="C27" s="6" t="n">
        <v>46048.28472222222</v>
      </c>
      <c r="D27" s="8">
        <f>TEXT(INT((C27-A27)*24),"00")&amp;":"&amp;TEXT(MOD((C27-A27)*1440,60),"00")</f>
        <v/>
      </c>
      <c r="E27" s="8">
        <f>IF(MOD((C27-A27)*1440,60)&gt;=15,INT((C27-A27)*24)+1,INT((C27-A27)*24))</f>
        <v/>
      </c>
      <c r="F27" s="8">
        <f>IF(E27&gt;12,2,1)</f>
        <v/>
      </c>
      <c r="G27" s="9">
        <f>MAX(0,E27-F27)</f>
        <v/>
      </c>
    </row>
    <row r="28">
      <c r="A28" s="2" t="n">
        <v>46048.29722222222</v>
      </c>
      <c r="B28" s="3" t="inlineStr">
        <is>
          <t>Менеджер</t>
        </is>
      </c>
      <c r="C28" s="2" t="n">
        <v>46049.27569444444</v>
      </c>
      <c r="D28" s="4">
        <f>TEXT(INT((C28-A28)*24),"00")&amp;":"&amp;TEXT(MOD((C28-A28)*1440,60),"00")</f>
        <v/>
      </c>
      <c r="E28" s="4">
        <f>IF(MOD((C28-A28)*1440,60)&gt;=15,INT((C28-A28)*24)+1,INT((C28-A28)*24))</f>
        <v/>
      </c>
      <c r="F28" s="4">
        <f>IF(E28&gt;12,2,1)</f>
        <v/>
      </c>
      <c r="G28" s="5">
        <f>MAX(0,E28-F28)</f>
        <v/>
      </c>
    </row>
    <row r="29">
      <c r="A29" s="6" t="n">
        <v>46049.3</v>
      </c>
      <c r="B29" s="7" t="inlineStr">
        <is>
          <t>Менеджер</t>
        </is>
      </c>
      <c r="C29" s="6" t="n">
        <v>46050.28055555555</v>
      </c>
      <c r="D29" s="8">
        <f>TEXT(INT((C29-A29)*24),"00")&amp;":"&amp;TEXT(MOD((C29-A29)*1440,60),"00")</f>
        <v/>
      </c>
      <c r="E29" s="8">
        <f>IF(MOD((C29-A29)*1440,60)&gt;=15,INT((C29-A29)*24)+1,INT((C29-A29)*24))</f>
        <v/>
      </c>
      <c r="F29" s="8">
        <f>IF(E29&gt;12,2,1)</f>
        <v/>
      </c>
      <c r="G29" s="9">
        <f>MAX(0,E29-F29)</f>
        <v/>
      </c>
    </row>
    <row r="30">
      <c r="A30" s="2" t="n">
        <v>46050.29861111111</v>
      </c>
      <c r="B30" s="3" t="inlineStr">
        <is>
          <t>Менеджер</t>
        </is>
      </c>
      <c r="C30" s="2" t="n">
        <v>46051.28125</v>
      </c>
      <c r="D30" s="4">
        <f>TEXT(INT((C30-A30)*24),"00")&amp;":"&amp;TEXT(MOD((C30-A30)*1440,60),"00")</f>
        <v/>
      </c>
      <c r="E30" s="4">
        <f>IF(MOD((C30-A30)*1440,60)&gt;=15,INT((C30-A30)*24)+1,INT((C30-A30)*24))</f>
        <v/>
      </c>
      <c r="F30" s="4">
        <f>IF(E30&gt;12,2,1)</f>
        <v/>
      </c>
      <c r="G30" s="5">
        <f>MAX(0,E30-F30)</f>
        <v/>
      </c>
    </row>
    <row r="31">
      <c r="A31" s="6" t="n">
        <v>46051.30625</v>
      </c>
      <c r="B31" s="7" t="inlineStr">
        <is>
          <t>Менеджер</t>
        </is>
      </c>
      <c r="C31" s="6" t="n">
        <v>46052.26319444444</v>
      </c>
      <c r="D31" s="8">
        <f>TEXT(INT((C31-A31)*24),"00")&amp;":"&amp;TEXT(MOD((C31-A31)*1440,60),"00")</f>
        <v/>
      </c>
      <c r="E31" s="8">
        <f>IF(MOD((C31-A31)*1440,60)&gt;=15,INT((C31-A31)*24)+1,INT((C31-A31)*24))</f>
        <v/>
      </c>
      <c r="F31" s="8">
        <f>IF(E31&gt;12,2,1)</f>
        <v/>
      </c>
      <c r="G31" s="9">
        <f>MAX(0,E31-F31)</f>
        <v/>
      </c>
    </row>
    <row r="32">
      <c r="A32" s="2" t="n">
        <v>46052.28819444445</v>
      </c>
      <c r="B32" s="3" t="inlineStr">
        <is>
          <t>Менеджер</t>
        </is>
      </c>
      <c r="C32" s="2" t="n">
        <v>46053.27222222222</v>
      </c>
      <c r="D32" s="4">
        <f>TEXT(INT((C32-A32)*24),"00")&amp;":"&amp;TEXT(MOD((C32-A32)*1440,60),"00")</f>
        <v/>
      </c>
      <c r="E32" s="4">
        <f>IF(MOD((C32-A32)*1440,60)&gt;=15,INT((C32-A32)*24)+1,INT((C32-A32)*24))</f>
        <v/>
      </c>
      <c r="F32" s="4">
        <f>IF(E32&gt;12,2,1)</f>
        <v/>
      </c>
      <c r="G32" s="5">
        <f>MAX(0,E32-F32)</f>
        <v/>
      </c>
    </row>
    <row r="33">
      <c r="A33" s="6" t="n">
        <v>46053.30208333334</v>
      </c>
      <c r="B33" s="7" t="inlineStr">
        <is>
          <t>Менеджер</t>
        </is>
      </c>
      <c r="C33" s="6" t="n">
        <v>46054.27013888889</v>
      </c>
      <c r="D33" s="8">
        <f>TEXT(INT((C33-A33)*24),"00")&amp;":"&amp;TEXT(MOD((C33-A33)*1440,60),"00")</f>
        <v/>
      </c>
      <c r="E33" s="8">
        <f>IF(MOD((C33-A33)*1440,60)&gt;=15,INT((C33-A33)*24)+1,INT((C33-A33)*24))</f>
        <v/>
      </c>
      <c r="F33" s="8">
        <f>IF(E33&gt;12,2,1)</f>
        <v/>
      </c>
      <c r="G33" s="9">
        <f>MAX(0,E33-F33)</f>
        <v/>
      </c>
    </row>
    <row r="34">
      <c r="A34" s="2" t="n">
        <v>46054.33541666667</v>
      </c>
      <c r="B34" s="3" t="inlineStr">
        <is>
          <t>Менеджер</t>
        </is>
      </c>
      <c r="C34" s="2" t="n">
        <v>46054.99652777778</v>
      </c>
      <c r="D34" s="4">
        <f>TEXT(INT((C34-A34)*24),"00")&amp;":"&amp;TEXT(MOD((C34-A34)*1440,60),"00")</f>
        <v/>
      </c>
      <c r="E34" s="4">
        <f>IF(MOD((C34-A34)*1440,60)&gt;=15,INT((C34-A34)*24)+1,INT((C34-A34)*24))</f>
        <v/>
      </c>
      <c r="F34" s="4">
        <f>IF(E34&gt;12,2,1)</f>
        <v/>
      </c>
      <c r="G34" s="5">
        <f>MAX(0,E34-F34)</f>
        <v/>
      </c>
    </row>
    <row r="35">
      <c r="F35" s="10" t="inlineStr">
        <is>
          <t>ИТОГО:</t>
        </is>
      </c>
      <c r="G35" s="11">
        <f>SUM(G2:G34)</f>
        <v/>
      </c>
    </row>
  </sheetData>
  <autoFilter ref="A1:G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2026-03-28T11:37:12Z</dcterms:created>
  <dcterms:modified xsi:type="dcterms:W3CDTF">2026-03-28T11:37:12Z</dcterms:modified>
</cp:coreProperties>
</file>
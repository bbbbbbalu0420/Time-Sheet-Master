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46023.39513888889</v>
      </c>
      <c r="B2" s="3" t="inlineStr">
        <is>
          <t>КАЛИНИНА М.М.</t>
        </is>
      </c>
      <c r="C2" s="2" t="n">
        <v>46023.39930555555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46027.40902777778</v>
      </c>
      <c r="B3" s="7" t="inlineStr">
        <is>
          <t>КАЛИНИНА М.М.</t>
        </is>
      </c>
      <c r="C3" s="6" t="n">
        <v>46027.41388888889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46027.44097222222</v>
      </c>
      <c r="B4" s="3" t="inlineStr">
        <is>
          <t>КАЛИНИНА М.М.</t>
        </is>
      </c>
      <c r="C4" s="2" t="n">
        <v>46027.44166666667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46028.38194444445</v>
      </c>
      <c r="B5" s="7" t="inlineStr">
        <is>
          <t>ТИШИН ДМИТРИЙ ВЯЧЕСЛАВОВИЧ</t>
        </is>
      </c>
      <c r="C5" s="6" t="n">
        <v>46028.39097222222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46028.58125</v>
      </c>
      <c r="B6" s="3" t="inlineStr">
        <is>
          <t>КАЛИНИНА М.М.</t>
        </is>
      </c>
      <c r="C6" s="2" t="n">
        <v>46029.35416666666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46031.41111111111</v>
      </c>
      <c r="B7" s="7" t="inlineStr">
        <is>
          <t>КАЛИНИНА М.М.</t>
        </is>
      </c>
      <c r="C7" s="6" t="n">
        <v>46031.41319444445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46031.44375</v>
      </c>
      <c r="B8" s="3" t="inlineStr">
        <is>
          <t>КАЛИНИНА М.М.</t>
        </is>
      </c>
      <c r="C8" s="2" t="n">
        <v>46031.44444444445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46031.5</v>
      </c>
      <c r="B9" s="7" t="inlineStr">
        <is>
          <t>КАЛИНИНА М.М.</t>
        </is>
      </c>
      <c r="C9" s="6" t="n">
        <v>46032.35763888889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46034.69097222222</v>
      </c>
      <c r="B10" s="3" t="inlineStr">
        <is>
          <t>КАЛИНИНА М.М.</t>
        </is>
      </c>
      <c r="C10" s="2" t="n">
        <v>46034.69097222222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46034.69305555556</v>
      </c>
      <c r="B11" s="7" t="inlineStr">
        <is>
          <t>КАЛИНИНА М.М.</t>
        </is>
      </c>
      <c r="C11" s="6" t="n">
        <v>46035.38263888889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46037.44722222222</v>
      </c>
      <c r="B12" s="3" t="inlineStr">
        <is>
          <t>КАЛИНИНА М.М.</t>
        </is>
      </c>
      <c r="C12" s="2" t="n">
        <v>46037.44722222222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46037.44791666666</v>
      </c>
      <c r="B13" s="7" t="inlineStr">
        <is>
          <t>КАЛИНИНА М.М.</t>
        </is>
      </c>
      <c r="C13" s="6" t="n">
        <v>46038.38541666666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46038.43680555555</v>
      </c>
      <c r="B14" s="3" t="inlineStr">
        <is>
          <t>КАЛИНИНА М.М.</t>
        </is>
      </c>
      <c r="C14" s="2" t="n">
        <v>46039.36875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A15" s="6" t="n">
        <v>46041.42916666667</v>
      </c>
      <c r="B15" s="7" t="inlineStr">
        <is>
          <t>КАЛИНИНА М.М.</t>
        </is>
      </c>
      <c r="C15" s="6" t="n">
        <v>46041.42986111111</v>
      </c>
      <c r="D15" s="8">
        <f>TEXT(INT((C15-A15)*24),"00")&amp;":"&amp;TEXT(MOD((C15-A15)*1440,60),"00")</f>
        <v/>
      </c>
      <c r="E15" s="8">
        <f>IF(MOD((C15-A15)*1440,60)&gt;=15,INT((C15-A15)*24)+1,INT((C15-A15)*24))</f>
        <v/>
      </c>
      <c r="F15" s="8">
        <f>IF(E15&gt;12,2,1)</f>
        <v/>
      </c>
      <c r="G15" s="9">
        <f>MAX(0,E15-F15)</f>
        <v/>
      </c>
    </row>
    <row r="16">
      <c r="A16" s="2" t="n">
        <v>46041.43472222222</v>
      </c>
      <c r="B16" s="3" t="inlineStr">
        <is>
          <t>КАЛИНИНА М.М.</t>
        </is>
      </c>
      <c r="C16" s="2" t="n">
        <v>46041.45069444444</v>
      </c>
      <c r="D16" s="4">
        <f>TEXT(INT((C16-A16)*24),"00")&amp;":"&amp;TEXT(MOD((C16-A16)*1440,60),"00")</f>
        <v/>
      </c>
      <c r="E16" s="4">
        <f>IF(MOD((C16-A16)*1440,60)&gt;=15,INT((C16-A16)*24)+1,INT((C16-A16)*24))</f>
        <v/>
      </c>
      <c r="F16" s="4">
        <f>IF(E16&gt;12,2,1)</f>
        <v/>
      </c>
      <c r="G16" s="5">
        <f>MAX(0,E16-F16)</f>
        <v/>
      </c>
    </row>
    <row r="17">
      <c r="A17" s="6" t="n">
        <v>46041.45138888889</v>
      </c>
      <c r="B17" s="7" t="inlineStr">
        <is>
          <t>КАЛИНИНА М.М.</t>
        </is>
      </c>
      <c r="C17" s="6" t="n">
        <v>46042.36111111111</v>
      </c>
      <c r="D17" s="8">
        <f>TEXT(INT((C17-A17)*24),"00")&amp;":"&amp;TEXT(MOD((C17-A17)*1440,60),"00")</f>
        <v/>
      </c>
      <c r="E17" s="8">
        <f>IF(MOD((C17-A17)*1440,60)&gt;=15,INT((C17-A17)*24)+1,INT((C17-A17)*24))</f>
        <v/>
      </c>
      <c r="F17" s="8">
        <f>IF(E17&gt;12,2,1)</f>
        <v/>
      </c>
      <c r="G17" s="9">
        <f>MAX(0,E17-F17)</f>
        <v/>
      </c>
    </row>
    <row r="18">
      <c r="A18" s="2" t="n">
        <v>46042.47361111111</v>
      </c>
      <c r="B18" s="3" t="inlineStr">
        <is>
          <t>КАЛИНИНА М.М.</t>
        </is>
      </c>
      <c r="C18" s="2" t="n">
        <v>46043.35486111111</v>
      </c>
      <c r="D18" s="4">
        <f>TEXT(INT((C18-A18)*24),"00")&amp;":"&amp;TEXT(MOD((C18-A18)*1440,60),"00")</f>
        <v/>
      </c>
      <c r="E18" s="4">
        <f>IF(MOD((C18-A18)*1440,60)&gt;=15,INT((C18-A18)*24)+1,INT((C18-A18)*24))</f>
        <v/>
      </c>
      <c r="F18" s="4">
        <f>IF(E18&gt;12,2,1)</f>
        <v/>
      </c>
      <c r="G18" s="5">
        <f>MAX(0,E18-F18)</f>
        <v/>
      </c>
    </row>
    <row r="19">
      <c r="A19" s="6" t="n">
        <v>46045.425</v>
      </c>
      <c r="B19" s="7" t="inlineStr">
        <is>
          <t>КАЛИНИНА М.М.</t>
        </is>
      </c>
      <c r="C19" s="6" t="n">
        <v>46045.42569444444</v>
      </c>
      <c r="D19" s="8">
        <f>TEXT(INT((C19-A19)*24),"00")&amp;":"&amp;TEXT(MOD((C19-A19)*1440,60),"00")</f>
        <v/>
      </c>
      <c r="E19" s="8">
        <f>IF(MOD((C19-A19)*1440,60)&gt;=15,INT((C19-A19)*24)+1,INT((C19-A19)*24))</f>
        <v/>
      </c>
      <c r="F19" s="8">
        <f>IF(E19&gt;12,2,1)</f>
        <v/>
      </c>
      <c r="G19" s="9">
        <f>MAX(0,E19-F19)</f>
        <v/>
      </c>
    </row>
    <row r="20">
      <c r="A20" s="2" t="n">
        <v>46045.44027777778</v>
      </c>
      <c r="B20" s="3" t="inlineStr">
        <is>
          <t>КАЛИНИНА М.М.</t>
        </is>
      </c>
      <c r="C20" s="2" t="n">
        <v>46046.36875</v>
      </c>
      <c r="D20" s="4">
        <f>TEXT(INT((C20-A20)*24),"00")&amp;":"&amp;TEXT(MOD((C20-A20)*1440,60),"00")</f>
        <v/>
      </c>
      <c r="E20" s="4">
        <f>IF(MOD((C20-A20)*1440,60)&gt;=15,INT((C20-A20)*24)+1,INT((C20-A20)*24))</f>
        <v/>
      </c>
      <c r="F20" s="4">
        <f>IF(E20&gt;12,2,1)</f>
        <v/>
      </c>
      <c r="G20" s="5">
        <f>MAX(0,E20-F20)</f>
        <v/>
      </c>
    </row>
    <row r="21">
      <c r="A21" s="6" t="n">
        <v>46048.6</v>
      </c>
      <c r="B21" s="7" t="inlineStr">
        <is>
          <t>КАЛИНИНА М.М.</t>
        </is>
      </c>
      <c r="C21" s="6" t="n">
        <v>46049.36388888889</v>
      </c>
      <c r="D21" s="8">
        <f>TEXT(INT((C21-A21)*24),"00")&amp;":"&amp;TEXT(MOD((C21-A21)*1440,60),"00")</f>
        <v/>
      </c>
      <c r="E21" s="8">
        <f>IF(MOD((C21-A21)*1440,60)&gt;=15,INT((C21-A21)*24)+1,INT((C21-A21)*24))</f>
        <v/>
      </c>
      <c r="F21" s="8">
        <f>IF(E21&gt;12,2,1)</f>
        <v/>
      </c>
      <c r="G21" s="9">
        <f>MAX(0,E21-F21)</f>
        <v/>
      </c>
    </row>
    <row r="22">
      <c r="A22" s="2" t="n">
        <v>46049.49375</v>
      </c>
      <c r="B22" s="3" t="inlineStr">
        <is>
          <t>КАЛИНИНА М.М.</t>
        </is>
      </c>
      <c r="C22" s="2" t="n">
        <v>46050.35277777778</v>
      </c>
      <c r="D22" s="4">
        <f>TEXT(INT((C22-A22)*24),"00")&amp;":"&amp;TEXT(MOD((C22-A22)*1440,60),"00")</f>
        <v/>
      </c>
      <c r="E22" s="4">
        <f>IF(MOD((C22-A22)*1440,60)&gt;=15,INT((C22-A22)*24)+1,INT((C22-A22)*24))</f>
        <v/>
      </c>
      <c r="F22" s="4">
        <f>IF(E22&gt;12,2,1)</f>
        <v/>
      </c>
      <c r="G22" s="5">
        <f>MAX(0,E22-F22)</f>
        <v/>
      </c>
    </row>
    <row r="23">
      <c r="A23" s="6" t="n">
        <v>46050.36736111111</v>
      </c>
      <c r="B23" s="7" t="inlineStr">
        <is>
          <t>КАЛИНИНА М.М.</t>
        </is>
      </c>
      <c r="C23" s="6" t="n">
        <v>46050.36805555555</v>
      </c>
      <c r="D23" s="8">
        <f>TEXT(INT((C23-A23)*24),"00")&amp;":"&amp;TEXT(MOD((C23-A23)*1440,60),"00")</f>
        <v/>
      </c>
      <c r="E23" s="8">
        <f>IF(MOD((C23-A23)*1440,60)&gt;=15,INT((C23-A23)*24)+1,INT((C23-A23)*24))</f>
        <v/>
      </c>
      <c r="F23" s="8">
        <f>IF(E23&gt;12,2,1)</f>
        <v/>
      </c>
      <c r="G23" s="9">
        <f>MAX(0,E23-F23)</f>
        <v/>
      </c>
    </row>
    <row r="24">
      <c r="A24" s="2" t="n">
        <v>46053.44583333333</v>
      </c>
      <c r="B24" s="3" t="inlineStr">
        <is>
          <t>КАЛИНИНА М.М.</t>
        </is>
      </c>
      <c r="C24" s="2" t="n">
        <v>46053.44583333333</v>
      </c>
      <c r="D24" s="4">
        <f>TEXT(INT((C24-A24)*24),"00")&amp;":"&amp;TEXT(MOD((C24-A24)*1440,60),"00")</f>
        <v/>
      </c>
      <c r="E24" s="4">
        <f>IF(MOD((C24-A24)*1440,60)&gt;=15,INT((C24-A24)*24)+1,INT((C24-A24)*24))</f>
        <v/>
      </c>
      <c r="F24" s="4">
        <f>IF(E24&gt;12,2,1)</f>
        <v/>
      </c>
      <c r="G24" s="5">
        <f>MAX(0,E24-F24)</f>
        <v/>
      </c>
    </row>
    <row r="25">
      <c r="A25" s="6" t="n">
        <v>46053.46041666667</v>
      </c>
      <c r="B25" s="7" t="inlineStr">
        <is>
          <t>КАЛИНИНА М.М.</t>
        </is>
      </c>
      <c r="C25" s="6" t="n">
        <v>46054.41458333333</v>
      </c>
      <c r="D25" s="8">
        <f>TEXT(INT((C25-A25)*24),"00")&amp;":"&amp;TEXT(MOD((C25-A25)*1440,60),"00")</f>
        <v/>
      </c>
      <c r="E25" s="8">
        <f>IF(MOD((C25-A25)*1440,60)&gt;=15,INT((C25-A25)*24)+1,INT((C25-A25)*24))</f>
        <v/>
      </c>
      <c r="F25" s="8">
        <f>IF(E25&gt;12,2,1)</f>
        <v/>
      </c>
      <c r="G25" s="9">
        <f>MAX(0,E25-F25)</f>
        <v/>
      </c>
    </row>
    <row r="26">
      <c r="F26" s="10" t="inlineStr">
        <is>
          <t>ИТОГО:</t>
        </is>
      </c>
      <c r="G26" s="11">
        <f>SUM(G2:G25)</f>
        <v/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2026-03-28T11:36:27Z</dcterms:created>
  <dcterms:modified xsi:type="dcterms:W3CDTF">2026-03-28T11:36:27Z</dcterms:modified>
</cp:coreProperties>
</file>
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46035.45694444444</v>
      </c>
      <c r="B2" s="3" t="inlineStr">
        <is>
          <t>Калинина М.М.</t>
        </is>
      </c>
      <c r="C2" s="2" t="n">
        <v>46035.46041666667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46035.525</v>
      </c>
      <c r="B3" s="7" t="inlineStr">
        <is>
          <t>Сервис служба</t>
        </is>
      </c>
      <c r="C3" s="6" t="n">
        <v>46035.525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46035.59444444445</v>
      </c>
      <c r="B4" s="3" t="inlineStr">
        <is>
          <t>Сервис служба</t>
        </is>
      </c>
      <c r="C4" s="2" t="n">
        <v>46035.69444444445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46036.43194444444</v>
      </c>
      <c r="B5" s="7" t="inlineStr">
        <is>
          <t>Сервис служба</t>
        </is>
      </c>
      <c r="C5" s="6" t="n">
        <v>46036.43194444444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46036.59375</v>
      </c>
      <c r="B6" s="3" t="inlineStr">
        <is>
          <t>Сервис служба</t>
        </is>
      </c>
      <c r="C6" s="2" t="n">
        <v>46036.625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46036.70416666667</v>
      </c>
      <c r="B7" s="7" t="inlineStr">
        <is>
          <t>Сервис служба</t>
        </is>
      </c>
      <c r="C7" s="6" t="n">
        <v>46036.84375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46037.41041666667</v>
      </c>
      <c r="B8" s="3" t="inlineStr">
        <is>
          <t>Сервис служба</t>
        </is>
      </c>
      <c r="C8" s="2" t="n">
        <v>46037.45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46037.64375</v>
      </c>
      <c r="B9" s="7" t="inlineStr">
        <is>
          <t>Сервис служба</t>
        </is>
      </c>
      <c r="C9" s="6" t="n">
        <v>46037.83333333334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46038.36180555556</v>
      </c>
      <c r="B10" s="3" t="inlineStr">
        <is>
          <t>Сервис служба</t>
        </is>
      </c>
      <c r="C10" s="2" t="n">
        <v>46039.17916666667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46039.31527777778</v>
      </c>
      <c r="B11" s="7" t="inlineStr">
        <is>
          <t>Сервис служба</t>
        </is>
      </c>
      <c r="C11" s="6" t="n">
        <v>46039.74513888889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46040.46875</v>
      </c>
      <c r="B12" s="3" t="inlineStr">
        <is>
          <t>Сервис служба</t>
        </is>
      </c>
      <c r="C12" s="2" t="n">
        <v>46041.16805555556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46041.28680555556</v>
      </c>
      <c r="B13" s="7" t="inlineStr">
        <is>
          <t>Сервис служба</t>
        </is>
      </c>
      <c r="C13" s="6" t="n">
        <v>46042.26527777778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46042.29166666666</v>
      </c>
      <c r="B14" s="3" t="inlineStr">
        <is>
          <t>Сервис служба</t>
        </is>
      </c>
      <c r="C14" s="2" t="n">
        <v>46042.88194444445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A15" s="6" t="n">
        <v>46043.34097222222</v>
      </c>
      <c r="B15" s="7" t="inlineStr">
        <is>
          <t>Сервис служба</t>
        </is>
      </c>
      <c r="C15" s="6" t="n">
        <v>46044.28055555555</v>
      </c>
      <c r="D15" s="8">
        <f>TEXT(INT((C15-A15)*24),"00")&amp;":"&amp;TEXT(MOD((C15-A15)*1440,60),"00")</f>
        <v/>
      </c>
      <c r="E15" s="8">
        <f>IF(MOD((C15-A15)*1440,60)&gt;=15,INT((C15-A15)*24)+1,INT((C15-A15)*24))</f>
        <v/>
      </c>
      <c r="F15" s="8">
        <f>IF(E15&gt;12,2,1)</f>
        <v/>
      </c>
      <c r="G15" s="9">
        <f>MAX(0,E15-F15)</f>
        <v/>
      </c>
    </row>
    <row r="16">
      <c r="A16" s="2" t="n">
        <v>46044.32013888889</v>
      </c>
      <c r="B16" s="3" t="inlineStr">
        <is>
          <t>Сервис служба</t>
        </is>
      </c>
      <c r="C16" s="2" t="n">
        <v>46044.37638888889</v>
      </c>
      <c r="D16" s="4">
        <f>TEXT(INT((C16-A16)*24),"00")&amp;":"&amp;TEXT(MOD((C16-A16)*1440,60),"00")</f>
        <v/>
      </c>
      <c r="E16" s="4">
        <f>IF(MOD((C16-A16)*1440,60)&gt;=15,INT((C16-A16)*24)+1,INT((C16-A16)*24))</f>
        <v/>
      </c>
      <c r="F16" s="4">
        <f>IF(E16&gt;12,2,1)</f>
        <v/>
      </c>
      <c r="G16" s="5">
        <f>MAX(0,E16-F16)</f>
        <v/>
      </c>
    </row>
    <row r="17">
      <c r="A17" s="6" t="n">
        <v>46044.41805555556</v>
      </c>
      <c r="B17" s="7" t="inlineStr">
        <is>
          <t>Сервис служба</t>
        </is>
      </c>
      <c r="C17" s="6" t="n">
        <v>46044.65486111111</v>
      </c>
      <c r="D17" s="8">
        <f>TEXT(INT((C17-A17)*24),"00")&amp;":"&amp;TEXT(MOD((C17-A17)*1440,60),"00")</f>
        <v/>
      </c>
      <c r="E17" s="8">
        <f>IF(MOD((C17-A17)*1440,60)&gt;=15,INT((C17-A17)*24)+1,INT((C17-A17)*24))</f>
        <v/>
      </c>
      <c r="F17" s="8">
        <f>IF(E17&gt;12,2,1)</f>
        <v/>
      </c>
      <c r="G17" s="9">
        <f>MAX(0,E17-F17)</f>
        <v/>
      </c>
    </row>
    <row r="18">
      <c r="A18" s="2" t="n">
        <v>46044.78333333333</v>
      </c>
      <c r="B18" s="3" t="inlineStr">
        <is>
          <t>1 смена</t>
        </is>
      </c>
      <c r="C18" s="2" t="n">
        <v>46045.18680555555</v>
      </c>
      <c r="D18" s="4">
        <f>TEXT(INT((C18-A18)*24),"00")&amp;":"&amp;TEXT(MOD((C18-A18)*1440,60),"00")</f>
        <v/>
      </c>
      <c r="E18" s="4">
        <f>IF(MOD((C18-A18)*1440,60)&gt;=15,INT((C18-A18)*24)+1,INT((C18-A18)*24))</f>
        <v/>
      </c>
      <c r="F18" s="4">
        <f>IF(E18&gt;12,2,1)</f>
        <v/>
      </c>
      <c r="G18" s="5">
        <f>MAX(0,E18-F18)</f>
        <v/>
      </c>
    </row>
    <row r="19">
      <c r="A19" s="6" t="n">
        <v>46045.32638888889</v>
      </c>
      <c r="B19" s="7" t="inlineStr">
        <is>
          <t>2 смена</t>
        </is>
      </c>
      <c r="C19" s="6" t="n">
        <v>46045.32638888889</v>
      </c>
      <c r="D19" s="8">
        <f>TEXT(INT((C19-A19)*24),"00")&amp;":"&amp;TEXT(MOD((C19-A19)*1440,60),"00")</f>
        <v/>
      </c>
      <c r="E19" s="8">
        <f>IF(MOD((C19-A19)*1440,60)&gt;=15,INT((C19-A19)*24)+1,INT((C19-A19)*24))</f>
        <v/>
      </c>
      <c r="F19" s="8">
        <f>IF(E19&gt;12,2,1)</f>
        <v/>
      </c>
      <c r="G19" s="9">
        <f>MAX(0,E19-F19)</f>
        <v/>
      </c>
    </row>
    <row r="20">
      <c r="A20" s="2" t="n">
        <v>46045.34027777778</v>
      </c>
      <c r="B20" s="3" t="inlineStr">
        <is>
          <t>2 смена</t>
        </is>
      </c>
      <c r="C20" s="2" t="n">
        <v>46045.67569444444</v>
      </c>
      <c r="D20" s="4">
        <f>TEXT(INT((C20-A20)*24),"00")&amp;":"&amp;TEXT(MOD((C20-A20)*1440,60),"00")</f>
        <v/>
      </c>
      <c r="E20" s="4">
        <f>IF(MOD((C20-A20)*1440,60)&gt;=15,INT((C20-A20)*24)+1,INT((C20-A20)*24))</f>
        <v/>
      </c>
      <c r="F20" s="4">
        <f>IF(E20&gt;12,2,1)</f>
        <v/>
      </c>
      <c r="G20" s="5">
        <f>MAX(0,E20-F20)</f>
        <v/>
      </c>
    </row>
    <row r="21">
      <c r="A21" s="6" t="n">
        <v>46046.36458333334</v>
      </c>
      <c r="B21" s="7" t="inlineStr">
        <is>
          <t>3 смена</t>
        </is>
      </c>
      <c r="C21" s="6" t="n">
        <v>46046.77222222222</v>
      </c>
      <c r="D21" s="8">
        <f>TEXT(INT((C21-A21)*24),"00")&amp;":"&amp;TEXT(MOD((C21-A21)*1440,60),"00")</f>
        <v/>
      </c>
      <c r="E21" s="8">
        <f>IF(MOD((C21-A21)*1440,60)&gt;=15,INT((C21-A21)*24)+1,INT((C21-A21)*24))</f>
        <v/>
      </c>
      <c r="F21" s="8">
        <f>IF(E21&gt;12,2,1)</f>
        <v/>
      </c>
      <c r="G21" s="9">
        <f>MAX(0,E21-F21)</f>
        <v/>
      </c>
    </row>
    <row r="22">
      <c r="A22" s="2" t="n">
        <v>46047.54236111111</v>
      </c>
      <c r="B22" s="3" t="inlineStr">
        <is>
          <t>2 смена</t>
        </is>
      </c>
      <c r="C22" s="2" t="n">
        <v>46047.78333333333</v>
      </c>
      <c r="D22" s="4">
        <f>TEXT(INT((C22-A22)*24),"00")&amp;":"&amp;TEXT(MOD((C22-A22)*1440,60),"00")</f>
        <v/>
      </c>
      <c r="E22" s="4">
        <f>IF(MOD((C22-A22)*1440,60)&gt;=15,INT((C22-A22)*24)+1,INT((C22-A22)*24))</f>
        <v/>
      </c>
      <c r="F22" s="4">
        <f>IF(E22&gt;12,2,1)</f>
        <v/>
      </c>
      <c r="G22" s="5">
        <f>MAX(0,E22-F22)</f>
        <v/>
      </c>
    </row>
    <row r="23">
      <c r="A23" s="6" t="n">
        <v>46048.76875</v>
      </c>
      <c r="B23" s="7" t="inlineStr">
        <is>
          <t>1 смена</t>
        </is>
      </c>
      <c r="C23" s="6" t="n">
        <v>46048.81180555555</v>
      </c>
      <c r="D23" s="8">
        <f>TEXT(INT((C23-A23)*24),"00")&amp;":"&amp;TEXT(MOD((C23-A23)*1440,60),"00")</f>
        <v/>
      </c>
      <c r="E23" s="8">
        <f>IF(MOD((C23-A23)*1440,60)&gt;=15,INT((C23-A23)*24)+1,INT((C23-A23)*24))</f>
        <v/>
      </c>
      <c r="F23" s="8">
        <f>IF(E23&gt;12,2,1)</f>
        <v/>
      </c>
      <c r="G23" s="9">
        <f>MAX(0,E23-F23)</f>
        <v/>
      </c>
    </row>
    <row r="24">
      <c r="A24" s="2" t="n">
        <v>46049.36319444444</v>
      </c>
      <c r="B24" s="3" t="inlineStr">
        <is>
          <t>3 смена</t>
        </is>
      </c>
      <c r="C24" s="2" t="n">
        <v>46049.82847222222</v>
      </c>
      <c r="D24" s="4">
        <f>TEXT(INT((C24-A24)*24),"00")&amp;":"&amp;TEXT(MOD((C24-A24)*1440,60),"00")</f>
        <v/>
      </c>
      <c r="E24" s="4">
        <f>IF(MOD((C24-A24)*1440,60)&gt;=15,INT((C24-A24)*24)+1,INT((C24-A24)*24))</f>
        <v/>
      </c>
      <c r="F24" s="4">
        <f>IF(E24&gt;12,2,1)</f>
        <v/>
      </c>
      <c r="G24" s="5">
        <f>MAX(0,E24-F24)</f>
        <v/>
      </c>
    </row>
    <row r="25">
      <c r="A25" s="6" t="n">
        <v>46050.42916666667</v>
      </c>
      <c r="B25" s="7" t="inlineStr">
        <is>
          <t>1 смена</t>
        </is>
      </c>
      <c r="C25" s="6" t="n">
        <v>46050.79375</v>
      </c>
      <c r="D25" s="8">
        <f>TEXT(INT((C25-A25)*24),"00")&amp;":"&amp;TEXT(MOD((C25-A25)*1440,60),"00")</f>
        <v/>
      </c>
      <c r="E25" s="8">
        <f>IF(MOD((C25-A25)*1440,60)&gt;=15,INT((C25-A25)*24)+1,INT((C25-A25)*24))</f>
        <v/>
      </c>
      <c r="F25" s="8">
        <f>IF(E25&gt;12,2,1)</f>
        <v/>
      </c>
      <c r="G25" s="9">
        <f>MAX(0,E25-F25)</f>
        <v/>
      </c>
    </row>
    <row r="26">
      <c r="A26" s="2" t="n">
        <v>46051.34444444445</v>
      </c>
      <c r="B26" s="3" t="inlineStr">
        <is>
          <t>1 смена</t>
        </is>
      </c>
      <c r="C26" s="2" t="n">
        <v>46052.14236111111</v>
      </c>
      <c r="D26" s="4">
        <f>TEXT(INT((C26-A26)*24),"00")&amp;":"&amp;TEXT(MOD((C26-A26)*1440,60),"00")</f>
        <v/>
      </c>
      <c r="E26" s="4">
        <f>IF(MOD((C26-A26)*1440,60)&gt;=15,INT((C26-A26)*24)+1,INT((C26-A26)*24))</f>
        <v/>
      </c>
      <c r="F26" s="4">
        <f>IF(E26&gt;12,2,1)</f>
        <v/>
      </c>
      <c r="G26" s="5">
        <f>MAX(0,E26-F26)</f>
        <v/>
      </c>
    </row>
    <row r="27">
      <c r="A27" s="6" t="n">
        <v>46052.37222222222</v>
      </c>
      <c r="B27" s="7" t="inlineStr">
        <is>
          <t>2 смена</t>
        </is>
      </c>
      <c r="C27" s="6" t="n">
        <v>46053.23958333334</v>
      </c>
      <c r="D27" s="8">
        <f>TEXT(INT((C27-A27)*24),"00")&amp;":"&amp;TEXT(MOD((C27-A27)*1440,60),"00")</f>
        <v/>
      </c>
      <c r="E27" s="8">
        <f>IF(MOD((C27-A27)*1440,60)&gt;=15,INT((C27-A27)*24)+1,INT((C27-A27)*24))</f>
        <v/>
      </c>
      <c r="F27" s="8">
        <f>IF(E27&gt;12,2,1)</f>
        <v/>
      </c>
      <c r="G27" s="9">
        <f>MAX(0,E27-F27)</f>
        <v/>
      </c>
    </row>
    <row r="28">
      <c r="A28" s="2" t="n">
        <v>46053.48333333333</v>
      </c>
      <c r="B28" s="3" t="inlineStr">
        <is>
          <t>1 смена</t>
        </is>
      </c>
      <c r="C28" s="2" t="n">
        <v>46054.04930555556</v>
      </c>
      <c r="D28" s="4">
        <f>TEXT(INT((C28-A28)*24),"00")&amp;":"&amp;TEXT(MOD((C28-A28)*1440,60),"00")</f>
        <v/>
      </c>
      <c r="E28" s="4">
        <f>IF(MOD((C28-A28)*1440,60)&gt;=15,INT((C28-A28)*24)+1,INT((C28-A28)*24))</f>
        <v/>
      </c>
      <c r="F28" s="4">
        <f>IF(E28&gt;12,2,1)</f>
        <v/>
      </c>
      <c r="G28" s="5">
        <f>MAX(0,E28-F28)</f>
        <v/>
      </c>
    </row>
    <row r="29">
      <c r="A29" s="6" t="n">
        <v>46054.53819444445</v>
      </c>
      <c r="B29" s="7" t="inlineStr">
        <is>
          <t>2 смена</t>
        </is>
      </c>
      <c r="C29" s="6" t="n">
        <v>46054.83680555555</v>
      </c>
      <c r="D29" s="8">
        <f>TEXT(INT((C29-A29)*24),"00")&amp;":"&amp;TEXT(MOD((C29-A29)*1440,60),"00")</f>
        <v/>
      </c>
      <c r="E29" s="8">
        <f>IF(MOD((C29-A29)*1440,60)&gt;=15,INT((C29-A29)*24)+1,INT((C29-A29)*24))</f>
        <v/>
      </c>
      <c r="F29" s="8">
        <f>IF(E29&gt;12,2,1)</f>
        <v/>
      </c>
      <c r="G29" s="9">
        <f>MAX(0,E29-F29)</f>
        <v/>
      </c>
    </row>
    <row r="30">
      <c r="F30" s="10" t="inlineStr">
        <is>
          <t>ИТОГО:</t>
        </is>
      </c>
      <c r="G30" s="11">
        <f>SUM(G2:G29)</f>
        <v/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2026-03-28T11:37:57Z</dcterms:created>
  <dcterms:modified xsi:type="dcterms:W3CDTF">2026-03-28T11:37:57Z</dcterms:modified>
</cp:coreProperties>
</file>
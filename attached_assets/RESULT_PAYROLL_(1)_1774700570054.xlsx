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>
    <definedName name="_xlnm._FilterDatabase" localSheetId="0" hidden="1">'Ведомость'!$A$1:$G$14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top style="double">
        <color rgb="004472C4"/>
      </top>
      <bottom style="double">
        <color rgb="004472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6" customWidth="1" min="3" max="3"/>
    <col width="12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Дата открытия</t>
        </is>
      </c>
      <c r="B1" s="1" t="inlineStr">
        <is>
          <t>Кассир</t>
        </is>
      </c>
      <c r="C1" s="1" t="inlineStr">
        <is>
          <t>Время последнего чека</t>
        </is>
      </c>
      <c r="D1" s="1" t="inlineStr">
        <is>
          <t>ВСЕГО</t>
        </is>
      </c>
      <c r="E1" s="1" t="inlineStr">
        <is>
          <t>ОКРУГЛЕНИЕ</t>
        </is>
      </c>
      <c r="F1" s="1" t="inlineStr">
        <is>
          <t>ОБЕД</t>
        </is>
      </c>
      <c r="G1" s="1" t="inlineStr">
        <is>
          <t>НАЧИСЛЕНО</t>
        </is>
      </c>
    </row>
    <row r="2">
      <c r="A2" s="2" t="n">
        <v>46016.29583333333</v>
      </c>
      <c r="B2" s="3" t="inlineStr">
        <is>
          <t>КАЛИНИНА М.М.</t>
        </is>
      </c>
      <c r="C2" s="2" t="n">
        <v>46044.53680555556</v>
      </c>
      <c r="D2" s="4">
        <f>TEXT(INT((C2-A2)*24),"00")&amp;":"&amp;TEXT(MOD((C2-A2)*1440,60),"00")</f>
        <v/>
      </c>
      <c r="E2" s="4">
        <f>IF(MOD((C2-A2)*1440,60)&gt;=15,INT((C2-A2)*24)+1,INT((C2-A2)*24))</f>
        <v/>
      </c>
      <c r="F2" s="4">
        <f>IF(E2&gt;12,2,1)</f>
        <v/>
      </c>
      <c r="G2" s="5">
        <f>MAX(0,E2-F2)</f>
        <v/>
      </c>
    </row>
    <row r="3">
      <c r="A3" s="6" t="n">
        <v>46044.64097222222</v>
      </c>
      <c r="B3" s="7" t="inlineStr">
        <is>
          <t>ХАСАМОВ АЛЕКСЕЙ ИНСАРОВИЧ</t>
        </is>
      </c>
      <c r="C3" s="6" t="n">
        <v>46044.64097222222</v>
      </c>
      <c r="D3" s="8">
        <f>TEXT(INT((C3-A3)*24),"00")&amp;":"&amp;TEXT(MOD((C3-A3)*1440,60),"00")</f>
        <v/>
      </c>
      <c r="E3" s="8">
        <f>IF(MOD((C3-A3)*1440,60)&gt;=15,INT((C3-A3)*24)+1,INT((C3-A3)*24))</f>
        <v/>
      </c>
      <c r="F3" s="8">
        <f>IF(E3&gt;12,2,1)</f>
        <v/>
      </c>
      <c r="G3" s="9">
        <f>MAX(0,E3-F3)</f>
        <v/>
      </c>
    </row>
    <row r="4">
      <c r="A4" s="2" t="n">
        <v>46045.69375</v>
      </c>
      <c r="B4" s="3" t="inlineStr">
        <is>
          <t>ХАСАМОВ АЛЕКСЕЙ ИНСАРОВИЧ</t>
        </is>
      </c>
      <c r="C4" s="2" t="n">
        <v>46045.83194444444</v>
      </c>
      <c r="D4" s="4">
        <f>TEXT(INT((C4-A4)*24),"00")&amp;":"&amp;TEXT(MOD((C4-A4)*1440,60),"00")</f>
        <v/>
      </c>
      <c r="E4" s="4">
        <f>IF(MOD((C4-A4)*1440,60)&gt;=15,INT((C4-A4)*24)+1,INT((C4-A4)*24))</f>
        <v/>
      </c>
      <c r="F4" s="4">
        <f>IF(E4&gt;12,2,1)</f>
        <v/>
      </c>
      <c r="G4" s="5">
        <f>MAX(0,E4-F4)</f>
        <v/>
      </c>
    </row>
    <row r="5">
      <c r="A5" s="6" t="n">
        <v>46046.29236111111</v>
      </c>
      <c r="B5" s="7" t="inlineStr">
        <is>
          <t>ХАСАМОВ АЛЕКСЕЙ ИНСАРОВИЧ</t>
        </is>
      </c>
      <c r="C5" s="6" t="n">
        <v>46047.27569444444</v>
      </c>
      <c r="D5" s="8">
        <f>TEXT(INT((C5-A5)*24),"00")&amp;":"&amp;TEXT(MOD((C5-A5)*1440,60),"00")</f>
        <v/>
      </c>
      <c r="E5" s="8">
        <f>IF(MOD((C5-A5)*1440,60)&gt;=15,INT((C5-A5)*24)+1,INT((C5-A5)*24))</f>
        <v/>
      </c>
      <c r="F5" s="8">
        <f>IF(E5&gt;12,2,1)</f>
        <v/>
      </c>
      <c r="G5" s="9">
        <f>MAX(0,E5-F5)</f>
        <v/>
      </c>
    </row>
    <row r="6">
      <c r="A6" s="2" t="n">
        <v>46047.29097222222</v>
      </c>
      <c r="B6" s="3" t="inlineStr">
        <is>
          <t>ХАСАМОВ АЛЕКСЕЙ ИНСАРОВИЧ</t>
        </is>
      </c>
      <c r="C6" s="2" t="n">
        <v>46047.32986111111</v>
      </c>
      <c r="D6" s="4">
        <f>TEXT(INT((C6-A6)*24),"00")&amp;":"&amp;TEXT(MOD((C6-A6)*1440,60),"00")</f>
        <v/>
      </c>
      <c r="E6" s="4">
        <f>IF(MOD((C6-A6)*1440,60)&gt;=15,INT((C6-A6)*24)+1,INT((C6-A6)*24))</f>
        <v/>
      </c>
      <c r="F6" s="4">
        <f>IF(E6&gt;12,2,1)</f>
        <v/>
      </c>
      <c r="G6" s="5">
        <f>MAX(0,E6-F6)</f>
        <v/>
      </c>
    </row>
    <row r="7">
      <c r="A7" s="6" t="n">
        <v>46047.33125</v>
      </c>
      <c r="B7" s="7" t="inlineStr">
        <is>
          <t>ХАСАМОВ АЛЕКСЕЙ ИНСАРОВИЧ</t>
        </is>
      </c>
      <c r="C7" s="6" t="n">
        <v>46048.2875</v>
      </c>
      <c r="D7" s="8">
        <f>TEXT(INT((C7-A7)*24),"00")&amp;":"&amp;TEXT(MOD((C7-A7)*1440,60),"00")</f>
        <v/>
      </c>
      <c r="E7" s="8">
        <f>IF(MOD((C7-A7)*1440,60)&gt;=15,INT((C7-A7)*24)+1,INT((C7-A7)*24))</f>
        <v/>
      </c>
      <c r="F7" s="8">
        <f>IF(E7&gt;12,2,1)</f>
        <v/>
      </c>
      <c r="G7" s="9">
        <f>MAX(0,E7-F7)</f>
        <v/>
      </c>
    </row>
    <row r="8">
      <c r="A8" s="2" t="n">
        <v>46048.29097222222</v>
      </c>
      <c r="B8" s="3" t="inlineStr">
        <is>
          <t>ХАСАМОВ АЛЕКСЕЙ ИНСАРОВИЧ</t>
        </is>
      </c>
      <c r="C8" s="2" t="n">
        <v>46049.09375</v>
      </c>
      <c r="D8" s="4">
        <f>TEXT(INT((C8-A8)*24),"00")&amp;":"&amp;TEXT(MOD((C8-A8)*1440,60),"00")</f>
        <v/>
      </c>
      <c r="E8" s="4">
        <f>IF(MOD((C8-A8)*1440,60)&gt;=15,INT((C8-A8)*24)+1,INT((C8-A8)*24))</f>
        <v/>
      </c>
      <c r="F8" s="4">
        <f>IF(E8&gt;12,2,1)</f>
        <v/>
      </c>
      <c r="G8" s="5">
        <f>MAX(0,E8-F8)</f>
        <v/>
      </c>
    </row>
    <row r="9">
      <c r="A9" s="6" t="n">
        <v>46049.29305555556</v>
      </c>
      <c r="B9" s="7" t="inlineStr">
        <is>
          <t>ХАСАМОВ АЛЕКСЕЙ ИНСАРОВИЧ</t>
        </is>
      </c>
      <c r="C9" s="6" t="n">
        <v>46050.24652777778</v>
      </c>
      <c r="D9" s="8">
        <f>TEXT(INT((C9-A9)*24),"00")&amp;":"&amp;TEXT(MOD((C9-A9)*1440,60),"00")</f>
        <v/>
      </c>
      <c r="E9" s="8">
        <f>IF(MOD((C9-A9)*1440,60)&gt;=15,INT((C9-A9)*24)+1,INT((C9-A9)*24))</f>
        <v/>
      </c>
      <c r="F9" s="8">
        <f>IF(E9&gt;12,2,1)</f>
        <v/>
      </c>
      <c r="G9" s="9">
        <f>MAX(0,E9-F9)</f>
        <v/>
      </c>
    </row>
    <row r="10">
      <c r="A10" s="2" t="n">
        <v>46050.29166666666</v>
      </c>
      <c r="B10" s="3" t="inlineStr">
        <is>
          <t>КАЛИНИНА М.М.</t>
        </is>
      </c>
      <c r="C10" s="2" t="n">
        <v>46051.20347222222</v>
      </c>
      <c r="D10" s="4">
        <f>TEXT(INT((C10-A10)*24),"00")&amp;":"&amp;TEXT(MOD((C10-A10)*1440,60),"00")</f>
        <v/>
      </c>
      <c r="E10" s="4">
        <f>IF(MOD((C10-A10)*1440,60)&gt;=15,INT((C10-A10)*24)+1,INT((C10-A10)*24))</f>
        <v/>
      </c>
      <c r="F10" s="4">
        <f>IF(E10&gt;12,2,1)</f>
        <v/>
      </c>
      <c r="G10" s="5">
        <f>MAX(0,E10-F10)</f>
        <v/>
      </c>
    </row>
    <row r="11">
      <c r="A11" s="6" t="n">
        <v>46051.30763888889</v>
      </c>
      <c r="B11" s="7" t="inlineStr">
        <is>
          <t>КАЛИНИНА М.М.</t>
        </is>
      </c>
      <c r="C11" s="6" t="n">
        <v>46052.26041666666</v>
      </c>
      <c r="D11" s="8">
        <f>TEXT(INT((C11-A11)*24),"00")&amp;":"&amp;TEXT(MOD((C11-A11)*1440,60),"00")</f>
        <v/>
      </c>
      <c r="E11" s="8">
        <f>IF(MOD((C11-A11)*1440,60)&gt;=15,INT((C11-A11)*24)+1,INT((C11-A11)*24))</f>
        <v/>
      </c>
      <c r="F11" s="8">
        <f>IF(E11&gt;12,2,1)</f>
        <v/>
      </c>
      <c r="G11" s="9">
        <f>MAX(0,E11-F11)</f>
        <v/>
      </c>
    </row>
    <row r="12">
      <c r="A12" s="2" t="n">
        <v>46052.29166666666</v>
      </c>
      <c r="B12" s="3" t="inlineStr">
        <is>
          <t>КАЛИНИНА М.М.</t>
        </is>
      </c>
      <c r="C12" s="2" t="n">
        <v>46053.22708333333</v>
      </c>
      <c r="D12" s="4">
        <f>TEXT(INT((C12-A12)*24),"00")&amp;":"&amp;TEXT(MOD((C12-A12)*1440,60),"00")</f>
        <v/>
      </c>
      <c r="E12" s="4">
        <f>IF(MOD((C12-A12)*1440,60)&gt;=15,INT((C12-A12)*24)+1,INT((C12-A12)*24))</f>
        <v/>
      </c>
      <c r="F12" s="4">
        <f>IF(E12&gt;12,2,1)</f>
        <v/>
      </c>
      <c r="G12" s="5">
        <f>MAX(0,E12-F12)</f>
        <v/>
      </c>
    </row>
    <row r="13">
      <c r="A13" s="6" t="n">
        <v>46053.29097222222</v>
      </c>
      <c r="B13" s="7" t="inlineStr">
        <is>
          <t>КАЛИНИНА М.М.</t>
        </is>
      </c>
      <c r="C13" s="6" t="n">
        <v>46054.21527777778</v>
      </c>
      <c r="D13" s="8">
        <f>TEXT(INT((C13-A13)*24),"00")&amp;":"&amp;TEXT(MOD((C13-A13)*1440,60),"00")</f>
        <v/>
      </c>
      <c r="E13" s="8">
        <f>IF(MOD((C13-A13)*1440,60)&gt;=15,INT((C13-A13)*24)+1,INT((C13-A13)*24))</f>
        <v/>
      </c>
      <c r="F13" s="8">
        <f>IF(E13&gt;12,2,1)</f>
        <v/>
      </c>
      <c r="G13" s="9">
        <f>MAX(0,E13-F13)</f>
        <v/>
      </c>
    </row>
    <row r="14">
      <c r="A14" s="2" t="n">
        <v>46054.34097222222</v>
      </c>
      <c r="B14" s="3" t="inlineStr">
        <is>
          <t>КАЛИНИНА М.М.</t>
        </is>
      </c>
      <c r="C14" s="2" t="n">
        <v>46054.70972222222</v>
      </c>
      <c r="D14" s="4">
        <f>TEXT(INT((C14-A14)*24),"00")&amp;":"&amp;TEXT(MOD((C14-A14)*1440,60),"00")</f>
        <v/>
      </c>
      <c r="E14" s="4">
        <f>IF(MOD((C14-A14)*1440,60)&gt;=15,INT((C14-A14)*24)+1,INT((C14-A14)*24))</f>
        <v/>
      </c>
      <c r="F14" s="4">
        <f>IF(E14&gt;12,2,1)</f>
        <v/>
      </c>
      <c r="G14" s="5">
        <f>MAX(0,E14-F14)</f>
        <v/>
      </c>
    </row>
    <row r="15">
      <c r="F15" s="10" t="inlineStr">
        <is>
          <t>ИТОГО:</t>
        </is>
      </c>
      <c r="G15" s="11">
        <f>SUM(G2:G14)</f>
        <v/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2026-03-28T11:41:48Z</dcterms:created>
  <dcterms:modified xsi:type="dcterms:W3CDTF">2026-03-28T11:41:48Z</dcterms:modified>
</cp:coreProperties>
</file>
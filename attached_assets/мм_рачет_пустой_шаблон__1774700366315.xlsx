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280" yWindow="4120" windowWidth="28800" windowHeight="17040"/>
  </bookViews>
  <sheets>
    <sheet sheetId="1" name="Лист1" state="visible" r:id="rId4"/>
  </sheets>
  <calcPr calcId="171027"/>
</workbook>
</file>

<file path=xl/sharedStrings.xml><?xml version="1.0" encoding="utf-8"?>
<sst xmlns="http://schemas.openxmlformats.org/spreadsheetml/2006/main" count="238" uniqueCount="179">
  <si>
    <t>УТВЕРЖДАЮ</t>
  </si>
  <si>
    <t>ИП Калинина М.М.</t>
  </si>
  <si>
    <t>ГРАФИК РАБОТЫ ВРЕМЕНИ</t>
  </si>
  <si>
    <t>24 чел+(.-УВОЛЕН-1 чел-АЛИБЕКОВ)….+ПРИНЯТ-0 чел )=23 человек</t>
  </si>
  <si>
    <t>Ф.И.О</t>
  </si>
  <si>
    <t>№ 1</t>
  </si>
  <si>
    <t>№2</t>
  </si>
  <si>
    <t>итог</t>
  </si>
  <si>
    <t>ИТОГО ОТРАБОТАН ЧАСОВ</t>
  </si>
  <si>
    <t>НАЧИСЛЕН  В СООТВЕТСТ С ОТРАБОТ ЧАС</t>
  </si>
  <si>
    <t>БОЛЬНИЧН</t>
  </si>
  <si>
    <t>КОМПЕНС</t>
  </si>
  <si>
    <t>ОТПУСКН</t>
  </si>
  <si>
    <t xml:space="preserve">ОБЩИЙ </t>
  </si>
  <si>
    <t>ФОТ без</t>
  </si>
  <si>
    <t>ВЫЧЕТ</t>
  </si>
  <si>
    <t>ФОТ</t>
  </si>
  <si>
    <t>НДФЛ</t>
  </si>
  <si>
    <t>всего</t>
  </si>
  <si>
    <t>УДЕРЖАН</t>
  </si>
  <si>
    <t>к выдаче</t>
  </si>
  <si>
    <t>ФСС        0,2%</t>
  </si>
  <si>
    <t>ФСС            2,9%</t>
  </si>
  <si>
    <t>ФОМС             5,1%</t>
  </si>
  <si>
    <t>ср</t>
  </si>
  <si>
    <t>чт</t>
  </si>
  <si>
    <t>пт</t>
  </si>
  <si>
    <t>сб</t>
  </si>
  <si>
    <t>вс</t>
  </si>
  <si>
    <t>пн</t>
  </si>
  <si>
    <t>вт</t>
  </si>
  <si>
    <t>запр</t>
  </si>
  <si>
    <t>ОКЛАД</t>
  </si>
  <si>
    <t>КАЛЕНД</t>
  </si>
  <si>
    <t xml:space="preserve">1 ЧАС </t>
  </si>
  <si>
    <t>ФАКТИЧ</t>
  </si>
  <si>
    <t>ПЕРЕРАБ</t>
  </si>
  <si>
    <t>НОЧНЫЕ</t>
  </si>
  <si>
    <t>СВЕРХ</t>
  </si>
  <si>
    <t>ПРЕМИЯ</t>
  </si>
  <si>
    <t>БОЛЬНИЧНОГО</t>
  </si>
  <si>
    <t>БЕЗ ДЕТЕЙ</t>
  </si>
  <si>
    <t>выдаче</t>
  </si>
  <si>
    <t>аванс</t>
  </si>
  <si>
    <t>ПРИСТАВА</t>
  </si>
  <si>
    <t>зарплата</t>
  </si>
  <si>
    <t>РУБЛЕЙ</t>
  </si>
  <si>
    <t>ЧАСОВ</t>
  </si>
  <si>
    <t>РУБ</t>
  </si>
  <si>
    <t>УРОЧН</t>
  </si>
  <si>
    <t>ОТПУСК</t>
  </si>
  <si>
    <t>ДЕТЕЙ</t>
  </si>
  <si>
    <t>БЕЗ БОЛЬНИЧ</t>
  </si>
  <si>
    <t>БЕЗ ДЕТЕЙ,БЕЗБОЛЬН</t>
  </si>
  <si>
    <t>КЕК Т.Л.-ТРУД</t>
  </si>
  <si>
    <t>КЕК Т.Л.</t>
  </si>
  <si>
    <t>Приказчиков С.Н.-ТРУД/ЛЕСОЗ</t>
  </si>
  <si>
    <t>Приказчиков С.Н.</t>
  </si>
  <si>
    <t>АРКАВЧЕНКО-ЛЕСОЗ/????</t>
  </si>
  <si>
    <t>Захарова С.А.</t>
  </si>
  <si>
    <t>ЖИЗДЮК А.А.-АШАН/ЛЕСОЗ</t>
  </si>
  <si>
    <t>Жиздюк А.А.</t>
  </si>
  <si>
    <t>ЯУШКИН-ОТПУСК</t>
  </si>
  <si>
    <t>Яушкин А.А.Д</t>
  </si>
  <si>
    <t>САВИНОВА-ОТПУСК</t>
  </si>
  <si>
    <t>САВИНОВА</t>
  </si>
  <si>
    <t>ХАСАМОВ А.И.-МОСК/СТУД</t>
  </si>
  <si>
    <t>Хасамов А.И.-</t>
  </si>
  <si>
    <t>ГЕЙНЦ Ю.В-</t>
  </si>
  <si>
    <t>ГЕЙНЦ Ю.В.-БОЛЬН</t>
  </si>
  <si>
    <t>ФОТ БЕЗ НДФЛ</t>
  </si>
  <si>
    <t>Ващенко В.А.-СТУД/МОСК</t>
  </si>
  <si>
    <t>Ващенко В.А.-</t>
  </si>
  <si>
    <t>ЧИКИНА О.В</t>
  </si>
  <si>
    <t>Чикина О.В.</t>
  </si>
  <si>
    <t>АВАНС ВЕД КАЛ</t>
  </si>
  <si>
    <t>КАЗЫБЕКОВА-МЕЖД/техн</t>
  </si>
  <si>
    <t>Казыбекова Ж.</t>
  </si>
  <si>
    <t>АВАНС ВЕД МОСК</t>
  </si>
  <si>
    <t>Алдажанов Э.Э.-МЕЖД</t>
  </si>
  <si>
    <t>Алдажанов Э.Э.</t>
  </si>
  <si>
    <t>прист ЧУМАК</t>
  </si>
  <si>
    <t>ЗАХАРОВА-БОЛН ДО 12.01.26</t>
  </si>
  <si>
    <t>ВЕД БОЛЬН</t>
  </si>
  <si>
    <t>Оморов Б.Р.</t>
  </si>
  <si>
    <t>Оморов</t>
  </si>
  <si>
    <t>Алибеков К.К.-УВОЛ 30.01.26</t>
  </si>
  <si>
    <t>Алибеков К.К.</t>
  </si>
  <si>
    <t>ПЛАСТИНКИН-МИР ШИН</t>
  </si>
  <si>
    <t>Пластинкин А.А.</t>
  </si>
  <si>
    <t>ТИШИН Д.В-ЗА СВОЙ СЧЕТ</t>
  </si>
  <si>
    <t>ТИШИН Д.В</t>
  </si>
  <si>
    <t>КУДРЯШОВ Г.В-БОЛ ДО 12.02.26</t>
  </si>
  <si>
    <t>КУДРЯШОВ Г.В</t>
  </si>
  <si>
    <t>ЮДАЕВ С.В-ЗА СВОЙ СЧЕТ</t>
  </si>
  <si>
    <t>ЮДАЕВ С.В-НЕФТ/ДУБК</t>
  </si>
  <si>
    <t>ДОРОНИН А.В-ТЕХНИЧ</t>
  </si>
  <si>
    <t>ДОРОНИН А.В.</t>
  </si>
  <si>
    <t>ЛАПИНА Л.Н.-ЗА СВОЙ СЧЕТ</t>
  </si>
  <si>
    <t>ЛАПИНА Л.Н.</t>
  </si>
  <si>
    <t>ОСТРОВСКИЙ-НЕФТЕП</t>
  </si>
  <si>
    <t>ОСТРОВСКИЙ-ПР ПР№7-01.11.25</t>
  </si>
  <si>
    <t>БОНДАРЕНКО-НЕФТЕПР</t>
  </si>
  <si>
    <t>БОНДАРЕНКО-ПР ПР№8-01.11.25</t>
  </si>
  <si>
    <t>ЛАЗАРЕВ-увол ПР ПР№ 11-ЗА СВОЙ СЧЕТ</t>
  </si>
  <si>
    <t>ЛАЗАРЕВПР ПР№9-05.11.25</t>
  </si>
  <si>
    <t>КАРИМОВА А.М</t>
  </si>
  <si>
    <t>ВЕД МОСК</t>
  </si>
  <si>
    <t>вед калин</t>
  </si>
  <si>
    <t>ДА</t>
  </si>
  <si>
    <t>МИР ШИН</t>
  </si>
  <si>
    <t>С ТРУД</t>
  </si>
  <si>
    <t>ПОКА "0" СТОИТ</t>
  </si>
  <si>
    <t xml:space="preserve">ПЕРСОФИН </t>
  </si>
  <si>
    <t>П/П 21</t>
  </si>
  <si>
    <t>19.01.26</t>
  </si>
  <si>
    <t>П/П 26</t>
  </si>
  <si>
    <t>п/п 22</t>
  </si>
  <si>
    <t>П/П 25</t>
  </si>
  <si>
    <t>п/п 23</t>
  </si>
  <si>
    <t>п/п 24</t>
  </si>
  <si>
    <t>КР КУТ</t>
  </si>
  <si>
    <t>Международный ШЕРЕМЕТЬЕВО</t>
  </si>
  <si>
    <t>ВОЛЖСКИЙ</t>
  </si>
  <si>
    <t>??800</t>
  </si>
  <si>
    <t>МОСКОВСКОЕ</t>
  </si>
  <si>
    <t>ПРИНЯТ</t>
  </si>
  <si>
    <t xml:space="preserve">Приказ № </t>
  </si>
  <si>
    <t>УВОЛЕН</t>
  </si>
  <si>
    <t>БОЛЬНИЧНЫЕ</t>
  </si>
  <si>
    <t>ИСЧИСЛЕННЫЕ</t>
  </si>
  <si>
    <t>ГЛАВНЫЙ БУХГАЛТЕР</t>
  </si>
  <si>
    <t>ЕРЕМЕЕВКА</t>
  </si>
  <si>
    <t>ПРОБУЖДЕНИЕ</t>
  </si>
  <si>
    <t>АЛИБЕКОВ</t>
  </si>
  <si>
    <t>ПР 1 ОТ 30.01.26</t>
  </si>
  <si>
    <t>с</t>
  </si>
  <si>
    <t>по</t>
  </si>
  <si>
    <t>по мне НДФЛ</t>
  </si>
  <si>
    <t>БАРАНОВА Е.В.</t>
  </si>
  <si>
    <t>НЕФТЕПРОВОД</t>
  </si>
  <si>
    <t>ТЕХНИЧ</t>
  </si>
  <si>
    <t>ДОРОНИН</t>
  </si>
  <si>
    <t>КУДРЯШОВ</t>
  </si>
  <si>
    <t>по мне СТРАХОВ</t>
  </si>
  <si>
    <t>ДУБКИ</t>
  </si>
  <si>
    <t>ЛЕСОЗАВОДСКАЯ</t>
  </si>
  <si>
    <t>КАТАЕТСЯ</t>
  </si>
  <si>
    <t>ЗАХАРОВА</t>
  </si>
  <si>
    <t>по Айнуре НДФЛ</t>
  </si>
  <si>
    <t>???</t>
  </si>
  <si>
    <t>РУКОВОДИТЕЛЬ ОТДЕЛА КАДРОВ</t>
  </si>
  <si>
    <t>ЕНИСЕЙСКАЯ</t>
  </si>
  <si>
    <t>АШАН</t>
  </si>
  <si>
    <t>по Айнуре-СТРАХ</t>
  </si>
  <si>
    <t>КЕК Т.Л</t>
  </si>
  <si>
    <t>ТРУДОВАЯ</t>
  </si>
  <si>
    <t>53/033</t>
  </si>
  <si>
    <t>ПРОМЫШЛЕННАЯ</t>
  </si>
  <si>
    <t>СТОРОЖОВКА</t>
  </si>
  <si>
    <t>СХИ</t>
  </si>
  <si>
    <t>БОЛ</t>
  </si>
  <si>
    <t>ШЕРЕМЕТЬЕВО</t>
  </si>
  <si>
    <t>ОТПУСК ЗА СВОЙ СЧЕТ</t>
  </si>
  <si>
    <t>ЗА ДЕКАБРЬ</t>
  </si>
  <si>
    <t>ЛЕБЕДЬ</t>
  </si>
  <si>
    <t>Получатель: УФК по Саратовской области (ФКУ УИИ УФСИН России по Саратовской области), л/с 04601А66380</t>
  </si>
  <si>
    <t>Счет 03212643000000016000</t>
  </si>
  <si>
    <t>ИНН: 6455039443; КПП: 644932001 БИК: 016311121</t>
  </si>
  <si>
    <t>Отделение Саратов г. Саратов УФК ПО САР ОБЛ</t>
  </si>
  <si>
    <t>Счет 40102810845370000052</t>
  </si>
  <si>
    <t>ОКТМО 63650101</t>
  </si>
  <si>
    <t>ЛИЦЕВ СЧЕТ: 05601850460</t>
  </si>
  <si>
    <t>1 ребенок</t>
  </si>
  <si>
    <t>1. УИН 32264039190199146000-сумма 249797,55</t>
  </si>
  <si>
    <t>по ИП №199146/19/64039-ИП</t>
  </si>
  <si>
    <t>2 ребенок</t>
  </si>
  <si>
    <t>2. УИН 32264039190199148003-сумма 116898,77</t>
  </si>
  <si>
    <t>по ИП №199148/19/64039-ИП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</si>
</sst>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0.0000"/>
    <numFmt numFmtId="165" formatCode="mm/yy"/>
    <numFmt numFmtId="166" formatCode="[$-419]0%"/>
    <numFmt numFmtId="167" formatCode="[$-419]General"/>
    <numFmt numFmtId="168" formatCode="dd.mm.yy"/>
    <numFmt numFmtId="169" formatCode="[$-419]0.00"/>
    <numFmt numFmtId="170" formatCode="#,##0.0"/>
    <numFmt numFmtId="171" formatCode="0.0"/>
    <numFmt numFmtId="172" formatCode="dd/mm/yy;@"/>
    <numFmt numFmtId="173" formatCode="d/m/yy;@"/>
  </numFmts>
  <fonts count="56" x14ac:knownFonts="1">
    <font>
      <color theme="1"/>
      <family val="2"/>
      <scheme val="minor"/>
      <sz val="11"/>
      <name val="Calibri"/>
    </font>
    <font>
      <charset val="204"/>
      <color rgb="FF000000"/>
      <family val="2"/>
      <sz val="7"/>
      <name val="Calibri"/>
    </font>
    <font>
      <charset val="204"/>
      <color rgb="FF000000"/>
      <family val="2"/>
      <sz val="8"/>
      <name val="Calibri"/>
    </font>
    <font>
      <color rgb="FF000000"/>
      <family val="2"/>
      <sz val="9"/>
      <name val="Calibri"/>
    </font>
    <font>
      <color rgb="FF000000"/>
      <family val="2"/>
      <sz val="7"/>
      <name val="Calibri"/>
    </font>
    <font>
      <color rgb="FF000000"/>
      <family val="2"/>
      <sz val="8"/>
      <name val="Calibri"/>
    </font>
    <font>
      <charset val="204"/>
      <color rgb="FF000000"/>
      <family val="1"/>
      <sz val="7"/>
      <name val="Cambria"/>
    </font>
    <font>
      <charset val="204"/>
      <color rgb="FF000000"/>
      <family val="1"/>
      <sz val="8"/>
      <name val="Cambria"/>
    </font>
    <font>
      <color rgb="FF000000"/>
      <family val="1"/>
      <sz val="8"/>
      <name val="Cambria"/>
    </font>
    <font>
      <b/>
      <color rgb="FF000000"/>
      <family val="2"/>
      <sz val="8"/>
      <name val="Calibri"/>
    </font>
    <font>
      <b/>
      <charset val="204"/>
      <color rgb="FF000000"/>
      <family val="1"/>
      <sz val="8"/>
      <name val="Cambria"/>
    </font>
    <font>
      <b/>
      <charset val="204"/>
      <color rgb="FF000000"/>
      <family val="1"/>
      <sz val="7"/>
      <name val="Cambria"/>
    </font>
    <font>
      <b/>
      <charset val="204"/>
      <color rgb="FF000000"/>
      <family val="2"/>
      <sz val="8"/>
      <name val="Calibri"/>
    </font>
    <font>
      <b/>
      <charset val="204"/>
      <color rgb="FF000000"/>
      <family val="2"/>
      <sz val="7"/>
      <name val="Calibri"/>
    </font>
    <font>
      <b/>
      <charset val="204"/>
      <color rgb="FF000000"/>
      <sz val="7"/>
      <name val="Arial1"/>
    </font>
    <font>
      <color rgb="FF000000"/>
      <family val="1"/>
      <sz val="9"/>
      <name val="Cambria"/>
    </font>
    <font>
      <color rgb="FF000000"/>
      <family val="2"/>
      <sz val="6"/>
      <name val="Calibri"/>
    </font>
    <font>
      <b/>
      <color rgb="FF000000"/>
      <family val="2"/>
      <sz val="6"/>
      <name val="Calibri"/>
    </font>
    <font>
      <charset val="204"/>
      <color rgb="FF000000"/>
      <family val="2"/>
      <sz val="6"/>
      <name val="Calibri"/>
    </font>
    <font>
      <b/>
      <color rgb="FF000000"/>
      <family val="2"/>
      <scheme val="minor"/>
      <sz val="6"/>
      <name val="Calibri"/>
    </font>
    <font>
      <charset val="204"/>
      <color rgb="FF000000"/>
      <family val="2"/>
      <sz val="8"/>
      <name val="Arial"/>
    </font>
    <font>
      <color rgb="FF000000"/>
      <family val="2"/>
      <sz val="9"/>
      <name val="Arial"/>
    </font>
    <font>
      <b/>
      <color rgb="FF000000"/>
      <family val="1"/>
      <sz val="6"/>
      <name val="Times New Roman"/>
    </font>
    <font>
      <b/>
      <color theme="1"/>
      <family val="2"/>
      <sz val="6"/>
      <name val="Calibri"/>
    </font>
    <font>
      <color rgb="FF000000"/>
      <family val="2"/>
      <sz val="8"/>
      <name val="Arial"/>
    </font>
    <font>
      <b/>
      <charset val="204"/>
      <color rgb="FF000000"/>
      <family val="1"/>
      <sz val="6"/>
      <name val="Times New Roman"/>
    </font>
    <font>
      <charset val="204"/>
      <family val="1"/>
      <sz val="8"/>
      <name val="Times New Roman"/>
    </font>
    <font>
      <u/>
      <charset val="204"/>
      <color rgb="FF000000"/>
      <family val="1"/>
      <sz val="8"/>
      <name val="Cambria"/>
    </font>
    <font>
      <b/>
      <charset val="204"/>
      <color rgb="FF000000"/>
      <family val="2"/>
      <sz val="6"/>
      <name val="Calibri"/>
    </font>
    <font>
      <b/>
      <color theme="1"/>
      <family val="2"/>
      <sz val="5"/>
      <name val="Calibri"/>
    </font>
    <font>
      <color theme="1"/>
      <family val="2"/>
      <sz val="5"/>
      <name val="Calibri"/>
    </font>
    <font>
      <b/>
      <charset val="204"/>
      <color rgb="FF000000"/>
      <family val="1"/>
      <sz val="7"/>
      <name val="Times New Roman"/>
    </font>
    <font>
      <color rgb="FF000000"/>
      <family val="2"/>
      <sz val="12"/>
      <name val="Calibri"/>
    </font>
    <font>
      <color rgb="FF333333"/>
      <family val="2"/>
      <sz val="6"/>
      <name val="Calibri"/>
    </font>
    <font>
      <b/>
      <color rgb="FF333333"/>
      <family val="2"/>
      <sz val="6"/>
      <name val="Calibri"/>
    </font>
    <font>
      <b/>
      <family val="2"/>
      <scheme val="minor"/>
      <sz val="6"/>
      <name val="Calibri"/>
    </font>
    <font>
      <b/>
      <charset val="204"/>
      <family val="2"/>
      <sz val="7"/>
      <name val="Calibri"/>
    </font>
    <font>
      <b/>
      <color rgb="FF000000"/>
      <family val="1"/>
      <sz val="8"/>
      <name val="Cambria"/>
    </font>
    <font>
      <b/>
      <family val="2"/>
      <sz val="6"/>
      <name val="Calibri"/>
    </font>
    <font>
      <b/>
      <color rgb="FF000000"/>
      <family val="2"/>
      <sz val="5"/>
      <name val="Calibri"/>
    </font>
    <font>
      <b/>
      <color rgb="FF000000"/>
      <family val="2"/>
      <sz val="7"/>
      <name val="Calibri"/>
    </font>
    <font>
      <b/>
      <charset val="204"/>
      <color rgb="FF000000"/>
      <family val="2"/>
      <sz val="5"/>
      <name val="Calibri"/>
    </font>
    <font>
      <color rgb="FF000000"/>
      <family val="1"/>
      <sz val="7"/>
      <name val="Cambria"/>
    </font>
    <font>
      <b/>
      <color rgb="FF000000"/>
      <family val="1"/>
      <sz val="7"/>
      <name val="Cambria"/>
    </font>
    <font>
      <charset val="204"/>
      <color rgb="FF000000"/>
      <family val="2"/>
      <sz val="5"/>
      <name val="Calibri"/>
    </font>
    <font>
      <charset val="204"/>
      <color rgb="FF000000"/>
      <sz val="7"/>
      <name val="Arial1"/>
    </font>
    <font>
      <charset val="204"/>
      <color rgb="FF000000"/>
      <family val="1"/>
      <sz val="6"/>
      <name val="Cambria"/>
    </font>
    <font>
      <b/>
      <color rgb="FF000000"/>
      <family val="1"/>
      <sz val="5"/>
      <name val="Cambria"/>
    </font>
    <font>
      <b/>
      <charset val="204"/>
      <color rgb="FF000000"/>
      <family val="1"/>
      <sz val="6"/>
      <name val="Cambria"/>
    </font>
    <font>
      <b/>
      <charset val="204"/>
      <color rgb="FF000000"/>
      <family val="1"/>
      <sz val="5"/>
      <name val="Cambria"/>
    </font>
    <font>
      <b/>
      <charset val="204"/>
      <color rgb="FF000000"/>
      <family val="1"/>
      <sz val="5"/>
      <name val="Times New Roman"/>
    </font>
    <font>
      <b/>
      <color rgb="FF000000"/>
      <family val="1"/>
      <sz val="7"/>
      <name val="Times New Roman"/>
    </font>
    <font>
      <charset val="204"/>
      <color theme="1"/>
      <family val="1"/>
      <sz val="7"/>
      <name val="Cambria"/>
    </font>
    <font>
      <b/>
      <charset val="204"/>
      <color theme="1"/>
      <family val="1"/>
      <sz val="7"/>
      <name val="Cambria"/>
    </font>
    <font>
      <color rgb="FF000000"/>
      <family val="2"/>
      <sz val="5"/>
      <name val="Calibri"/>
    </font>
    <font>
      <b/>
      <color rgb="FF000000"/>
      <family val="2"/>
      <sz val="12"/>
      <name val="Calibri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  <fill>
      <patternFill patternType="solid">
        <fgColor rgb="FFFFF2CC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FFFF807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ACFAF3"/>
        <bgColor indexed="64"/>
      </patternFill>
    </fill>
    <fill>
      <patternFill patternType="solid">
        <fgColor rgb="FFFF9300"/>
        <bgColor indexed="64"/>
      </patternFill>
    </fill>
    <fill>
      <patternFill patternType="solid">
        <fgColor rgb="FFFF6B6B"/>
      </patternFill>
    </fill>
    <fill>
      <patternFill patternType="solid">
        <fgColor rgb="FFFFAADB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D5FC79"/>
        <bgColor indexed="64"/>
      </patternFill>
    </fill>
    <fill>
      <patternFill patternType="solid">
        <fgColor rgb="FFC2FA00"/>
        <bgColor indexed="64"/>
      </patternFill>
    </fill>
    <fill>
      <patternFill patternType="solid">
        <fgColor rgb="FF4EFDED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9ED00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FF"/>
      </patternFill>
    </fill>
    <fill>
      <patternFill patternType="solid">
        <fgColor rgb="FF66FC4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5" tint="0.5999938962981048"/>
        <bgColor indexed="65"/>
      </patternFill>
    </fill>
    <fill>
      <patternFill patternType="solid">
        <fgColor rgb="FFF8CBAD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rgb="FFC5E0B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8B82FF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8CBAD"/>
        <bgColor rgb="FF000000"/>
      </patternFill>
    </fill>
    <fill>
      <patternFill patternType="solid">
        <fgColor theme="0" tint="-0.0499893185216834"/>
        <bgColor indexed="64"/>
      </patternFill>
    </fill>
  </fills>
  <borders count="10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6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2" fontId="4" fillId="0" borderId="0" xfId="0" applyNumberFormat="1" applyFont="1"/>
    <xf numFmtId="164" fontId="3" fillId="0" borderId="0" xfId="0" applyNumberFormat="1" applyFont="1"/>
    <xf numFmtId="0" fontId="5" fillId="0" borderId="0" xfId="0" applyFont="1"/>
    <xf numFmtId="0" fontId="6" fillId="0" borderId="0" xfId="0" applyFont="1" applyAlignment="1">
      <alignment vertical="justify"/>
    </xf>
    <xf numFmtId="0" fontId="7" fillId="0" borderId="0" xfId="0" applyFont="1" applyAlignment="1">
      <alignment vertical="justify"/>
    </xf>
    <xf numFmtId="17" fontId="6" fillId="2" borderId="0" xfId="0" applyNumberFormat="1" applyFont="1" applyFill="1" applyAlignment="1">
      <alignment horizontal="center" vertical="justify"/>
    </xf>
    <xf numFmtId="0" fontId="8" fillId="0" borderId="0" xfId="0" applyFont="1" applyAlignment="1">
      <alignment vertical="justify"/>
    </xf>
    <xf numFmtId="0" fontId="8" fillId="0" borderId="0" xfId="0" applyFont="1"/>
    <xf numFmtId="165" fontId="9" fillId="3" borderId="0" xfId="0" applyNumberFormat="1" applyFont="1" applyFill="1"/>
    <xf numFmtId="0" fontId="9" fillId="3" borderId="0" xfId="0" applyFont="1" applyFill="1"/>
    <xf numFmtId="0" fontId="5" fillId="3" borderId="0" xfId="0" applyFont="1" applyFill="1"/>
    <xf numFmtId="165" fontId="10" fillId="3" borderId="0" xfId="0" applyNumberFormat="1" applyFont="1" applyFill="1" applyAlignment="1">
      <alignment horizontal="center" vertical="justify"/>
    </xf>
    <xf numFmtId="0" fontId="11" fillId="3" borderId="1" xfId="0" applyFont="1" applyFill="1" applyBorder="1" applyAlignment="1">
      <alignment horizontal="center" vertical="justify"/>
    </xf>
    <xf numFmtId="0" fontId="12" fillId="3" borderId="0" xfId="0" applyFont="1" applyFill="1"/>
    <xf numFmtId="0" fontId="13" fillId="0" borderId="2" xfId="0" applyFont="1" applyBorder="1"/>
    <xf numFmtId="0" fontId="14" fillId="0" borderId="3" xfId="0" applyFont="1" applyBorder="1" applyAlignment="1">
      <alignment horizontal="left" vertical="justify"/>
    </xf>
    <xf numFmtId="0" fontId="7" fillId="0" borderId="2" xfId="0" applyFont="1" applyBorder="1" applyAlignment="1">
      <alignment vertical="justify"/>
    </xf>
    <xf numFmtId="0" fontId="15" fillId="0" borderId="2" xfId="0" applyFont="1" applyBorder="1" applyAlignment="1">
      <alignment vertical="justify"/>
    </xf>
    <xf numFmtId="0" fontId="16" fillId="0" borderId="2" xfId="0" applyFont="1" applyBorder="1"/>
    <xf numFmtId="0" fontId="16" fillId="0" borderId="2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4" fontId="16" fillId="0" borderId="2" xfId="0" applyNumberFormat="1" applyFont="1" applyBorder="1" applyAlignment="1">
      <alignment horizontal="center"/>
    </xf>
    <xf numFmtId="4" fontId="16" fillId="0" borderId="4" xfId="0" applyNumberFormat="1" applyFont="1" applyBorder="1" applyAlignment="1">
      <alignment horizontal="center"/>
    </xf>
    <xf numFmtId="4" fontId="16" fillId="0" borderId="3" xfId="0" applyNumberFormat="1" applyFont="1" applyBorder="1" applyAlignment="1">
      <alignment horizontal="center"/>
    </xf>
    <xf numFmtId="4" fontId="16" fillId="0" borderId="2" xfId="0" applyNumberFormat="1" applyFont="1" applyBorder="1" applyAlignment="1">
      <alignment horizontal="left"/>
    </xf>
    <xf numFmtId="4" fontId="16" fillId="0" borderId="5" xfId="0" applyNumberFormat="1" applyFont="1" applyBorder="1" applyAlignment="1">
      <alignment horizontal="left"/>
    </xf>
    <xf numFmtId="166" fontId="17" fillId="4" borderId="3" xfId="0" applyNumberFormat="1" applyFont="1" applyFill="1" applyBorder="1" applyAlignment="1">
      <alignment horizontal="center"/>
    </xf>
    <xf numFmtId="167" fontId="17" fillId="4" borderId="2" xfId="0" applyNumberFormat="1" applyFont="1" applyFill="1" applyBorder="1" applyAlignment="1">
      <alignment horizontal="center" wrapText="1"/>
    </xf>
    <xf numFmtId="0" fontId="14" fillId="0" borderId="6" xfId="0" applyFont="1" applyBorder="1" applyAlignment="1">
      <alignment horizontal="left" vertical="justify"/>
    </xf>
    <xf numFmtId="0" fontId="16" fillId="0" borderId="7" xfId="0" applyFont="1" applyBorder="1"/>
    <xf numFmtId="4" fontId="16" fillId="0" borderId="6" xfId="0" applyNumberFormat="1" applyFont="1" applyBorder="1" applyAlignment="1">
      <alignment horizontal="left"/>
    </xf>
    <xf numFmtId="0" fontId="16" fillId="0" borderId="2" xfId="0" applyFont="1" applyBorder="1" applyAlignment="1">
      <alignment horizontal="left"/>
    </xf>
    <xf numFmtId="4" fontId="16" fillId="0" borderId="7" xfId="0" applyNumberFormat="1" applyFont="1" applyBorder="1" applyAlignment="1">
      <alignment horizontal="left"/>
    </xf>
    <xf numFmtId="166" fontId="17" fillId="4" borderId="8" xfId="0" applyNumberFormat="1" applyFont="1" applyFill="1" applyBorder="1" applyAlignment="1">
      <alignment horizontal="center"/>
    </xf>
    <xf numFmtId="167" fontId="17" fillId="4" borderId="9" xfId="0" applyNumberFormat="1" applyFont="1" applyFill="1" applyBorder="1" applyAlignment="1">
      <alignment horizontal="center" wrapText="1"/>
    </xf>
    <xf numFmtId="0" fontId="16" fillId="0" borderId="0" xfId="0" applyFont="1"/>
    <xf numFmtId="166" fontId="17" fillId="4" borderId="6" xfId="0" applyNumberFormat="1" applyFont="1" applyFill="1" applyBorder="1" applyAlignment="1">
      <alignment horizontal="center"/>
    </xf>
    <xf numFmtId="167" fontId="17" fillId="4" borderId="7" xfId="0" applyNumberFormat="1" applyFont="1" applyFill="1" applyBorder="1" applyAlignment="1">
      <alignment horizontal="center" wrapText="1"/>
    </xf>
    <xf numFmtId="167" fontId="18" fillId="0" borderId="10" xfId="0" applyNumberFormat="1" applyFont="1" applyBorder="1"/>
    <xf numFmtId="168" fontId="19" fillId="0" borderId="11" xfId="0" applyNumberFormat="1" applyFont="1" applyBorder="1" applyAlignment="1">
      <alignment horizontal="left" vertical="justify"/>
    </xf>
    <xf numFmtId="0" fontId="20" fillId="0" borderId="10" xfId="0" applyFont="1" applyBorder="1" applyAlignment="1">
      <alignment vertical="justify"/>
    </xf>
    <xf numFmtId="0" fontId="20" fillId="5" borderId="10" xfId="0" applyFont="1" applyFill="1" applyBorder="1" applyAlignment="1">
      <alignment vertical="justify"/>
    </xf>
    <xf numFmtId="0" fontId="7" fillId="0" borderId="10" xfId="0" applyFont="1" applyBorder="1" applyAlignment="1">
      <alignment vertical="justify"/>
    </xf>
    <xf numFmtId="0" fontId="7" fillId="5" borderId="10" xfId="0" applyFont="1" applyFill="1" applyBorder="1" applyAlignment="1">
      <alignment vertical="justify"/>
    </xf>
    <xf numFmtId="0" fontId="21" fillId="0" borderId="10" xfId="0" applyFont="1" applyBorder="1" applyAlignment="1">
      <alignment vertical="justify"/>
    </xf>
    <xf numFmtId="0" fontId="21" fillId="5" borderId="10" xfId="0" applyFont="1" applyFill="1" applyBorder="1" applyAlignment="1">
      <alignment vertical="justify"/>
    </xf>
    <xf numFmtId="1" fontId="21" fillId="6" borderId="10" xfId="0" applyNumberFormat="1" applyFont="1" applyFill="1" applyBorder="1" applyAlignment="1">
      <alignment vertical="top"/>
    </xf>
    <xf numFmtId="167" fontId="5" fillId="0" borderId="2" xfId="0" applyNumberFormat="1" applyFont="1" applyBorder="1"/>
    <xf numFmtId="168" fontId="22" fillId="0" borderId="3" xfId="0" applyNumberFormat="1" applyFont="1" applyBorder="1" applyAlignment="1">
      <alignment horizontal="left"/>
    </xf>
    <xf numFmtId="4" fontId="16" fillId="0" borderId="2" xfId="0" applyNumberFormat="1" applyFont="1" applyBorder="1" applyAlignment="1">
      <alignment horizontal="right"/>
    </xf>
    <xf numFmtId="2" fontId="16" fillId="0" borderId="2" xfId="0" applyNumberFormat="1" applyFont="1" applyBorder="1" applyAlignment="1">
      <alignment horizontal="right"/>
    </xf>
    <xf numFmtId="4" fontId="23" fillId="0" borderId="2" xfId="0" applyNumberFormat="1" applyFont="1" applyBorder="1" applyAlignment="1">
      <alignment horizontal="right"/>
    </xf>
    <xf numFmtId="4" fontId="17" fillId="0" borderId="2" xfId="0" applyNumberFormat="1" applyFont="1" applyBorder="1" applyAlignment="1">
      <alignment horizontal="right"/>
    </xf>
    <xf numFmtId="4" fontId="16" fillId="0" borderId="5" xfId="0" applyNumberFormat="1" applyFont="1" applyBorder="1" applyAlignment="1">
      <alignment horizontal="right"/>
    </xf>
    <xf numFmtId="0" fontId="16" fillId="0" borderId="2" xfId="0" applyFont="1" applyBorder="1" applyAlignment="1">
      <alignment horizontal="right"/>
    </xf>
    <xf numFmtId="169" fontId="16" fillId="4" borderId="3" xfId="0" applyNumberFormat="1" applyFont="1" applyFill="1" applyBorder="1"/>
    <xf numFmtId="169" fontId="16" fillId="4" borderId="2" xfId="0" applyNumberFormat="1" applyFont="1" applyFill="1" applyBorder="1"/>
    <xf numFmtId="167" fontId="18" fillId="0" borderId="12" xfId="0" applyNumberFormat="1" applyFont="1" applyBorder="1"/>
    <xf numFmtId="167" fontId="19" fillId="0" borderId="12" xfId="0" applyNumberFormat="1" applyFont="1" applyBorder="1" applyAlignment="1">
      <alignment horizontal="left" vertical="justify"/>
    </xf>
    <xf numFmtId="167" fontId="24" fillId="5" borderId="12" xfId="0" applyNumberFormat="1" applyFont="1" applyFill="1" applyBorder="1" applyAlignment="1">
      <alignment vertical="justify"/>
    </xf>
    <xf numFmtId="0" fontId="20" fillId="7" borderId="12" xfId="0" applyFont="1" applyFill="1" applyBorder="1" applyAlignment="1">
      <alignment vertical="justify"/>
    </xf>
    <xf numFmtId="0" fontId="20" fillId="5" borderId="12" xfId="0" applyFont="1" applyFill="1" applyBorder="1" applyAlignment="1">
      <alignment vertical="justify"/>
    </xf>
    <xf numFmtId="0" fontId="7" fillId="7" borderId="12" xfId="0" applyFont="1" applyFill="1" applyBorder="1" applyAlignment="1">
      <alignment vertical="justify"/>
    </xf>
    <xf numFmtId="0" fontId="7" fillId="5" borderId="12" xfId="0" applyFont="1" applyFill="1" applyBorder="1" applyAlignment="1">
      <alignment vertical="justify"/>
    </xf>
    <xf numFmtId="0" fontId="21" fillId="8" borderId="10" xfId="0" applyFont="1" applyFill="1" applyBorder="1" applyAlignment="1">
      <alignment vertical="justify"/>
    </xf>
    <xf numFmtId="167" fontId="5" fillId="0" borderId="3" xfId="0" applyNumberFormat="1" applyFont="1" applyBorder="1"/>
    <xf numFmtId="167" fontId="25" fillId="0" borderId="2" xfId="0" applyNumberFormat="1" applyFont="1" applyBorder="1"/>
    <xf numFmtId="2" fontId="16" fillId="0" borderId="2" xfId="0" applyNumberFormat="1" applyFont="1" applyBorder="1"/>
    <xf numFmtId="167" fontId="18" fillId="0" borderId="7" xfId="0" applyNumberFormat="1" applyFont="1" applyBorder="1"/>
    <xf numFmtId="167" fontId="19" fillId="0" borderId="7" xfId="0" applyNumberFormat="1" applyFont="1" applyBorder="1" applyAlignment="1">
      <alignment horizontal="left" vertical="justify"/>
    </xf>
    <xf numFmtId="0" fontId="20" fillId="7" borderId="7" xfId="0" applyFont="1" applyFill="1" applyBorder="1" applyAlignment="1">
      <alignment vertical="justify"/>
    </xf>
    <xf numFmtId="0" fontId="20" fillId="0" borderId="7" xfId="0" applyFont="1" applyBorder="1" applyAlignment="1">
      <alignment vertical="justify"/>
    </xf>
    <xf numFmtId="0" fontId="7" fillId="7" borderId="7" xfId="0" applyFont="1" applyFill="1" applyBorder="1" applyAlignment="1">
      <alignment vertical="justify"/>
    </xf>
    <xf numFmtId="0" fontId="7" fillId="0" borderId="7" xfId="0" applyFont="1" applyBorder="1" applyAlignment="1">
      <alignment vertical="justify"/>
    </xf>
    <xf numFmtId="0" fontId="20" fillId="0" borderId="13" xfId="0" applyFont="1" applyBorder="1" applyAlignment="1">
      <alignment vertical="justify"/>
    </xf>
    <xf numFmtId="167" fontId="22" fillId="0" borderId="2" xfId="0" applyNumberFormat="1" applyFont="1" applyBorder="1"/>
    <xf numFmtId="167" fontId="18" fillId="0" borderId="2" xfId="0" applyNumberFormat="1" applyFont="1" applyBorder="1"/>
    <xf numFmtId="167" fontId="19" fillId="0" borderId="2" xfId="0" applyNumberFormat="1" applyFont="1" applyBorder="1" applyAlignment="1">
      <alignment horizontal="left" vertical="justify"/>
    </xf>
    <xf numFmtId="167" fontId="26" fillId="9" borderId="2" xfId="0" applyNumberFormat="1" applyFont="1" applyFill="1" applyBorder="1" applyAlignment="1">
      <alignment vertical="justify"/>
    </xf>
    <xf numFmtId="0" fontId="20" fillId="7" borderId="2" xfId="0" applyFont="1" applyFill="1" applyBorder="1" applyAlignment="1">
      <alignment vertical="justify"/>
    </xf>
    <xf numFmtId="0" fontId="7" fillId="9" borderId="2" xfId="0" applyFont="1" applyFill="1" applyBorder="1" applyAlignment="1">
      <alignment vertical="justify"/>
    </xf>
    <xf numFmtId="0" fontId="7" fillId="7" borderId="2" xfId="0" applyFont="1" applyFill="1" applyBorder="1" applyAlignment="1">
      <alignment vertical="justify"/>
    </xf>
    <xf numFmtId="0" fontId="21" fillId="9" borderId="10" xfId="0" applyFont="1" applyFill="1" applyBorder="1" applyAlignment="1">
      <alignment vertical="justify"/>
    </xf>
    <xf numFmtId="0" fontId="21" fillId="7" borderId="10" xfId="0" applyFont="1" applyFill="1" applyBorder="1" applyAlignment="1">
      <alignment vertical="justify"/>
    </xf>
    <xf numFmtId="167" fontId="18" fillId="2" borderId="2" xfId="0" applyNumberFormat="1" applyFont="1" applyFill="1" applyBorder="1"/>
    <xf numFmtId="167" fontId="19" fillId="2" borderId="2" xfId="0" applyNumberFormat="1" applyFont="1" applyFill="1" applyBorder="1" applyAlignment="1">
      <alignment horizontal="left" vertical="justify"/>
    </xf>
    <xf numFmtId="167" fontId="26" fillId="3" borderId="2" xfId="0" applyNumberFormat="1" applyFont="1" applyFill="1" applyBorder="1" applyAlignment="1">
      <alignment vertical="justify"/>
    </xf>
    <xf numFmtId="0" fontId="20" fillId="3" borderId="2" xfId="0" applyFont="1" applyFill="1" applyBorder="1" applyAlignment="1">
      <alignment vertical="justify"/>
    </xf>
    <xf numFmtId="0" fontId="7" fillId="3" borderId="2" xfId="0" applyFont="1" applyFill="1" applyBorder="1" applyAlignment="1">
      <alignment vertical="justify"/>
    </xf>
    <xf numFmtId="0" fontId="21" fillId="2" borderId="10" xfId="0" applyFont="1" applyFill="1" applyBorder="1" applyAlignment="1">
      <alignment vertical="justify"/>
    </xf>
    <xf numFmtId="1" fontId="21" fillId="2" borderId="10" xfId="0" applyNumberFormat="1" applyFont="1" applyFill="1" applyBorder="1" applyAlignment="1">
      <alignment vertical="top"/>
    </xf>
    <xf numFmtId="167" fontId="5" fillId="2" borderId="2" xfId="0" applyNumberFormat="1" applyFont="1" applyFill="1" applyBorder="1"/>
    <xf numFmtId="167" fontId="22" fillId="2" borderId="2" xfId="0" applyNumberFormat="1" applyFont="1" applyFill="1" applyBorder="1"/>
    <xf numFmtId="4" fontId="16" fillId="2" borderId="2" xfId="0" applyNumberFormat="1" applyFont="1" applyFill="1" applyBorder="1" applyAlignment="1">
      <alignment horizontal="right"/>
    </xf>
    <xf numFmtId="2" fontId="16" fillId="2" borderId="2" xfId="0" applyNumberFormat="1" applyFont="1" applyFill="1" applyBorder="1" applyAlignment="1">
      <alignment horizontal="right"/>
    </xf>
    <xf numFmtId="4" fontId="23" fillId="2" borderId="2" xfId="0" applyNumberFormat="1" applyFont="1" applyFill="1" applyBorder="1" applyAlignment="1">
      <alignment horizontal="right"/>
    </xf>
    <xf numFmtId="4" fontId="17" fillId="2" borderId="2" xfId="0" applyNumberFormat="1" applyFont="1" applyFill="1" applyBorder="1" applyAlignment="1">
      <alignment horizontal="right"/>
    </xf>
    <xf numFmtId="4" fontId="16" fillId="2" borderId="5" xfId="0" applyNumberFormat="1" applyFont="1" applyFill="1" applyBorder="1" applyAlignment="1">
      <alignment horizontal="right"/>
    </xf>
    <xf numFmtId="0" fontId="16" fillId="2" borderId="2" xfId="0" applyFont="1" applyFill="1" applyBorder="1" applyAlignment="1">
      <alignment horizontal="right"/>
    </xf>
    <xf numFmtId="0" fontId="2" fillId="3" borderId="2" xfId="0" applyFont="1" applyFill="1" applyBorder="1" applyAlignment="1">
      <alignment vertical="justify"/>
    </xf>
    <xf numFmtId="0" fontId="20" fillId="3" borderId="7" xfId="0" applyFont="1" applyFill="1" applyBorder="1" applyAlignment="1">
      <alignment vertical="justify"/>
    </xf>
    <xf numFmtId="0" fontId="7" fillId="3" borderId="7" xfId="0" applyFont="1" applyFill="1" applyBorder="1" applyAlignment="1">
      <alignment vertical="justify"/>
    </xf>
    <xf numFmtId="0" fontId="20" fillId="3" borderId="13" xfId="0" applyFont="1" applyFill="1" applyBorder="1" applyAlignment="1">
      <alignment vertical="justify"/>
    </xf>
    <xf numFmtId="167" fontId="19" fillId="0" borderId="10" xfId="0" applyNumberFormat="1" applyFont="1" applyBorder="1" applyAlignment="1">
      <alignment horizontal="left" vertical="justify"/>
    </xf>
    <xf numFmtId="167" fontId="26" fillId="10" borderId="2" xfId="0" applyNumberFormat="1" applyFont="1" applyFill="1" applyBorder="1" applyAlignment="1">
      <alignment vertical="justify"/>
    </xf>
    <xf numFmtId="0" fontId="20" fillId="11" borderId="2" xfId="0" applyFont="1" applyFill="1" applyBorder="1" applyAlignment="1">
      <alignment vertical="justify"/>
    </xf>
    <xf numFmtId="0" fontId="7" fillId="10" borderId="2" xfId="0" applyFont="1" applyFill="1" applyBorder="1" applyAlignment="1">
      <alignment vertical="justify"/>
    </xf>
    <xf numFmtId="0" fontId="7" fillId="11" borderId="2" xfId="0" applyFont="1" applyFill="1" applyBorder="1" applyAlignment="1">
      <alignment vertical="justify"/>
    </xf>
    <xf numFmtId="0" fontId="21" fillId="10" borderId="10" xfId="0" applyFont="1" applyFill="1" applyBorder="1" applyAlignment="1">
      <alignment vertical="justify"/>
    </xf>
    <xf numFmtId="0" fontId="21" fillId="11" borderId="10" xfId="0" applyFont="1" applyFill="1" applyBorder="1" applyAlignment="1">
      <alignment vertical="justify"/>
    </xf>
    <xf numFmtId="167" fontId="18" fillId="0" borderId="5" xfId="0" applyNumberFormat="1" applyFont="1" applyBorder="1"/>
    <xf numFmtId="0" fontId="2" fillId="0" borderId="2" xfId="0" applyFont="1" applyBorder="1" applyAlignment="1">
      <alignment vertical="justify"/>
    </xf>
    <xf numFmtId="0" fontId="27" fillId="0" borderId="2" xfId="0" applyFont="1" applyBorder="1" applyAlignment="1">
      <alignment vertical="justify"/>
    </xf>
    <xf numFmtId="0" fontId="20" fillId="0" borderId="2" xfId="0" applyFont="1" applyBorder="1" applyAlignment="1">
      <alignment vertical="justify"/>
    </xf>
    <xf numFmtId="1" fontId="21" fillId="0" borderId="10" xfId="0" applyNumberFormat="1" applyFont="1" applyBorder="1" applyAlignment="1">
      <alignment vertical="top"/>
    </xf>
    <xf numFmtId="167" fontId="5" fillId="0" borderId="5" xfId="0" applyNumberFormat="1" applyFont="1" applyBorder="1"/>
    <xf numFmtId="167" fontId="28" fillId="0" borderId="2" xfId="0" applyNumberFormat="1" applyFont="1" applyBorder="1"/>
    <xf numFmtId="3" fontId="29" fillId="12" borderId="0" xfId="0" applyNumberFormat="1" applyFont="1" applyFill="1"/>
    <xf numFmtId="0" fontId="30" fillId="12" borderId="0" xfId="0" applyFont="1" applyFill="1"/>
    <xf numFmtId="167" fontId="31" fillId="11" borderId="12" xfId="0" applyNumberFormat="1" applyFont="1" applyFill="1" applyBorder="1" applyAlignment="1">
      <alignment vertical="justify"/>
    </xf>
    <xf numFmtId="0" fontId="20" fillId="10" borderId="12" xfId="0" applyFont="1" applyFill="1" applyBorder="1" applyAlignment="1">
      <alignment vertical="justify"/>
    </xf>
    <xf numFmtId="0" fontId="20" fillId="11" borderId="12" xfId="0" applyFont="1" applyFill="1" applyBorder="1" applyAlignment="1">
      <alignment vertical="justify"/>
    </xf>
    <xf numFmtId="0" fontId="7" fillId="10" borderId="12" xfId="0" applyFont="1" applyFill="1" applyBorder="1" applyAlignment="1">
      <alignment vertical="justify"/>
    </xf>
    <xf numFmtId="0" fontId="7" fillId="11" borderId="12" xfId="0" applyFont="1" applyFill="1" applyBorder="1" applyAlignment="1">
      <alignment vertical="justify"/>
    </xf>
    <xf numFmtId="167" fontId="28" fillId="0" borderId="2" xfId="0" applyNumberFormat="1" applyFont="1" applyBorder="1" applyAlignment="1">
      <alignment vertical="justify"/>
    </xf>
    <xf numFmtId="4" fontId="29" fillId="12" borderId="0" xfId="0" applyNumberFormat="1" applyFont="1" applyFill="1"/>
    <xf numFmtId="3" fontId="29" fillId="13" borderId="0" xfId="0" applyNumberFormat="1" applyFont="1" applyFill="1"/>
    <xf numFmtId="0" fontId="30" fillId="13" borderId="0" xfId="0" applyFont="1" applyFill="1"/>
    <xf numFmtId="0" fontId="19" fillId="14" borderId="2" xfId="0" applyFont="1" applyFill="1" applyBorder="1" applyAlignment="1">
      <alignment horizontal="left" vertical="justify"/>
    </xf>
    <xf numFmtId="0" fontId="7" fillId="15" borderId="2" xfId="0" applyFont="1" applyFill="1" applyBorder="1" applyAlignment="1">
      <alignment vertical="justify"/>
    </xf>
    <xf numFmtId="0" fontId="7" fillId="12" borderId="2" xfId="0" applyFont="1" applyFill="1" applyBorder="1" applyAlignment="1">
      <alignment vertical="justify"/>
    </xf>
    <xf numFmtId="0" fontId="2" fillId="16" borderId="2" xfId="0" applyFont="1" applyFill="1" applyBorder="1" applyAlignment="1">
      <alignment vertical="justify"/>
    </xf>
    <xf numFmtId="0" fontId="2" fillId="17" borderId="2" xfId="0" applyFont="1" applyFill="1" applyBorder="1" applyAlignment="1">
      <alignment vertical="justify"/>
    </xf>
    <xf numFmtId="0" fontId="24" fillId="12" borderId="2" xfId="0" applyFont="1" applyFill="1" applyBorder="1" applyAlignment="1">
      <alignment vertical="justify"/>
    </xf>
    <xf numFmtId="0" fontId="21" fillId="17" borderId="10" xfId="0" applyFont="1" applyFill="1" applyBorder="1" applyAlignment="1">
      <alignment vertical="justify"/>
    </xf>
    <xf numFmtId="0" fontId="21" fillId="18" borderId="10" xfId="0" applyFont="1" applyFill="1" applyBorder="1" applyAlignment="1">
      <alignment vertical="justify"/>
    </xf>
    <xf numFmtId="167" fontId="5" fillId="14" borderId="2" xfId="0" applyNumberFormat="1" applyFont="1" applyFill="1" applyBorder="1"/>
    <xf numFmtId="0" fontId="28" fillId="14" borderId="2" xfId="0" applyFont="1" applyFill="1" applyBorder="1"/>
    <xf numFmtId="4" fontId="16" fillId="14" borderId="2" xfId="0" applyNumberFormat="1" applyFont="1" applyFill="1" applyBorder="1" applyAlignment="1">
      <alignment horizontal="right"/>
    </xf>
    <xf numFmtId="2" fontId="16" fillId="14" borderId="2" xfId="0" applyNumberFormat="1" applyFont="1" applyFill="1" applyBorder="1" applyAlignment="1">
      <alignment horizontal="right"/>
    </xf>
    <xf numFmtId="4" fontId="23" fillId="14" borderId="2" xfId="0" applyNumberFormat="1" applyFont="1" applyFill="1" applyBorder="1" applyAlignment="1">
      <alignment horizontal="right"/>
    </xf>
    <xf numFmtId="4" fontId="17" fillId="14" borderId="2" xfId="0" applyNumberFormat="1" applyFont="1" applyFill="1" applyBorder="1" applyAlignment="1">
      <alignment horizontal="right"/>
    </xf>
    <xf numFmtId="4" fontId="16" fillId="14" borderId="5" xfId="0" applyNumberFormat="1" applyFont="1" applyFill="1" applyBorder="1" applyAlignment="1">
      <alignment horizontal="right"/>
    </xf>
    <xf numFmtId="0" fontId="16" fillId="14" borderId="2" xfId="0" applyFont="1" applyFill="1" applyBorder="1" applyAlignment="1">
      <alignment horizontal="right"/>
    </xf>
    <xf numFmtId="3" fontId="29" fillId="6" borderId="0" xfId="0" applyNumberFormat="1" applyFont="1" applyFill="1"/>
    <xf numFmtId="0" fontId="30" fillId="6" borderId="0" xfId="0" applyFont="1" applyFill="1"/>
    <xf numFmtId="3" fontId="29" fillId="9" borderId="0" xfId="0" applyNumberFormat="1" applyFont="1" applyFill="1"/>
    <xf numFmtId="0" fontId="30" fillId="9" borderId="0" xfId="0" applyFont="1" applyFill="1"/>
    <xf numFmtId="167" fontId="18" fillId="19" borderId="2" xfId="0" applyNumberFormat="1" applyFont="1" applyFill="1" applyBorder="1"/>
    <xf numFmtId="0" fontId="19" fillId="19" borderId="2" xfId="0" applyFont="1" applyFill="1" applyBorder="1" applyAlignment="1">
      <alignment horizontal="left" vertical="justify"/>
    </xf>
    <xf numFmtId="0" fontId="27" fillId="3" borderId="2" xfId="0" applyFont="1" applyFill="1" applyBorder="1" applyAlignment="1">
      <alignment vertical="justify"/>
    </xf>
    <xf numFmtId="0" fontId="24" fillId="3" borderId="2" xfId="0" applyFont="1" applyFill="1" applyBorder="1" applyAlignment="1">
      <alignment vertical="justify"/>
    </xf>
    <xf numFmtId="0" fontId="21" fillId="19" borderId="10" xfId="0" applyFont="1" applyFill="1" applyBorder="1" applyAlignment="1">
      <alignment vertical="justify"/>
    </xf>
    <xf numFmtId="1" fontId="21" fillId="19" borderId="10" xfId="0" applyNumberFormat="1" applyFont="1" applyFill="1" applyBorder="1" applyAlignment="1">
      <alignment vertical="top"/>
    </xf>
    <xf numFmtId="0" fontId="13" fillId="0" borderId="2" xfId="0" applyFont="1" applyBorder="1" applyAlignment="1">
      <alignment vertical="justify"/>
    </xf>
    <xf numFmtId="4" fontId="29" fillId="9" borderId="0" xfId="0" applyNumberFormat="1" applyFont="1" applyFill="1"/>
    <xf numFmtId="0" fontId="30" fillId="9" borderId="0" xfId="0" applyFont="1" applyFill="1" applyAlignment="1">
      <alignment horizontal="center" wrapText="1"/>
    </xf>
    <xf numFmtId="0" fontId="7" fillId="16" borderId="2" xfId="0" applyFont="1" applyFill="1" applyBorder="1" applyAlignment="1">
      <alignment vertical="justify"/>
    </xf>
    <xf numFmtId="0" fontId="13" fillId="14" borderId="2" xfId="0" applyFont="1" applyFill="1" applyBorder="1" applyAlignment="1">
      <alignment vertical="justify"/>
    </xf>
    <xf numFmtId="0" fontId="2" fillId="15" borderId="2" xfId="0" applyFont="1" applyFill="1" applyBorder="1" applyAlignment="1">
      <alignment vertical="justify"/>
    </xf>
    <xf numFmtId="0" fontId="7" fillId="20" borderId="10" xfId="0" applyFont="1" applyFill="1" applyBorder="1" applyAlignment="1">
      <alignment vertical="justify"/>
    </xf>
    <xf numFmtId="0" fontId="2" fillId="0" borderId="10" xfId="0" applyFont="1" applyBorder="1" applyAlignment="1">
      <alignment vertical="justify"/>
    </xf>
    <xf numFmtId="0" fontId="27" fillId="20" borderId="10" xfId="0" applyFont="1" applyFill="1" applyBorder="1" applyAlignment="1">
      <alignment vertical="justify"/>
    </xf>
    <xf numFmtId="0" fontId="21" fillId="20" borderId="10" xfId="0" applyFont="1" applyFill="1" applyBorder="1" applyAlignment="1">
      <alignment vertical="justify"/>
    </xf>
    <xf numFmtId="167" fontId="5" fillId="0" borderId="10" xfId="0" applyNumberFormat="1" applyFont="1" applyBorder="1"/>
    <xf numFmtId="167" fontId="13" fillId="0" borderId="10" xfId="0" applyNumberFormat="1" applyFont="1" applyBorder="1"/>
    <xf numFmtId="4" fontId="16" fillId="0" borderId="10" xfId="0" applyNumberFormat="1" applyFont="1" applyBorder="1" applyAlignment="1">
      <alignment horizontal="right"/>
    </xf>
    <xf numFmtId="2" fontId="16" fillId="0" borderId="10" xfId="0" applyNumberFormat="1" applyFont="1" applyBorder="1" applyAlignment="1">
      <alignment horizontal="right"/>
    </xf>
    <xf numFmtId="4" fontId="23" fillId="0" borderId="10" xfId="0" applyNumberFormat="1" applyFont="1" applyBorder="1" applyAlignment="1">
      <alignment horizontal="right"/>
    </xf>
    <xf numFmtId="4" fontId="17" fillId="0" borderId="10" xfId="0" applyNumberFormat="1" applyFont="1" applyBorder="1" applyAlignment="1">
      <alignment horizontal="right"/>
    </xf>
    <xf numFmtId="4" fontId="16" fillId="0" borderId="14" xfId="0" applyNumberFormat="1" applyFont="1" applyBorder="1" applyAlignment="1">
      <alignment horizontal="right"/>
    </xf>
    <xf numFmtId="0" fontId="16" fillId="0" borderId="10" xfId="0" applyFont="1" applyBorder="1" applyAlignment="1">
      <alignment horizontal="right"/>
    </xf>
    <xf numFmtId="0" fontId="32" fillId="0" borderId="0" xfId="0" applyFont="1"/>
    <xf numFmtId="0" fontId="32" fillId="0" borderId="12" xfId="0" applyFont="1" applyBorder="1"/>
    <xf numFmtId="0" fontId="33" fillId="2" borderId="12" xfId="0" applyFont="1" applyFill="1" applyBorder="1"/>
    <xf numFmtId="0" fontId="34" fillId="2" borderId="12" xfId="0" applyFont="1" applyFill="1" applyBorder="1"/>
    <xf numFmtId="0" fontId="7" fillId="2" borderId="10" xfId="0" applyFont="1" applyFill="1" applyBorder="1" applyAlignment="1">
      <alignment vertical="justify"/>
    </xf>
    <xf numFmtId="0" fontId="2" fillId="2" borderId="10" xfId="0" applyFont="1" applyFill="1" applyBorder="1" applyAlignment="1">
      <alignment vertical="justify"/>
    </xf>
    <xf numFmtId="0" fontId="27" fillId="2" borderId="10" xfId="0" applyFont="1" applyFill="1" applyBorder="1" applyAlignment="1">
      <alignment vertical="justify"/>
    </xf>
    <xf numFmtId="4" fontId="16" fillId="2" borderId="10" xfId="0" applyNumberFormat="1" applyFont="1" applyFill="1" applyBorder="1" applyAlignment="1">
      <alignment horizontal="right"/>
    </xf>
    <xf numFmtId="2" fontId="16" fillId="2" borderId="10" xfId="0" applyNumberFormat="1" applyFont="1" applyFill="1" applyBorder="1" applyAlignment="1">
      <alignment horizontal="right"/>
    </xf>
    <xf numFmtId="4" fontId="16" fillId="2" borderId="12" xfId="0" applyNumberFormat="1" applyFont="1" applyFill="1" applyBorder="1" applyAlignment="1">
      <alignment horizontal="right"/>
    </xf>
    <xf numFmtId="4" fontId="23" fillId="2" borderId="10" xfId="0" applyNumberFormat="1" applyFont="1" applyFill="1" applyBorder="1" applyAlignment="1">
      <alignment horizontal="right"/>
    </xf>
    <xf numFmtId="4" fontId="17" fillId="2" borderId="10" xfId="0" applyNumberFormat="1" applyFont="1" applyFill="1" applyBorder="1" applyAlignment="1">
      <alignment horizontal="right"/>
    </xf>
    <xf numFmtId="4" fontId="16" fillId="2" borderId="14" xfId="0" applyNumberFormat="1" applyFont="1" applyFill="1" applyBorder="1" applyAlignment="1">
      <alignment horizontal="right"/>
    </xf>
    <xf numFmtId="0" fontId="16" fillId="2" borderId="10" xfId="0" applyFont="1" applyFill="1" applyBorder="1" applyAlignment="1">
      <alignment horizontal="right"/>
    </xf>
    <xf numFmtId="4" fontId="16" fillId="2" borderId="15" xfId="0" applyNumberFormat="1" applyFont="1" applyFill="1" applyBorder="1" applyAlignment="1">
      <alignment horizontal="right"/>
    </xf>
    <xf numFmtId="169" fontId="16" fillId="4" borderId="11" xfId="0" applyNumberFormat="1" applyFont="1" applyFill="1" applyBorder="1"/>
    <xf numFmtId="169" fontId="16" fillId="4" borderId="10" xfId="0" applyNumberFormat="1" applyFont="1" applyFill="1" applyBorder="1"/>
    <xf numFmtId="4" fontId="29" fillId="9" borderId="12" xfId="0" applyNumberFormat="1" applyFont="1" applyFill="1" applyBorder="1"/>
    <xf numFmtId="0" fontId="30" fillId="9" borderId="16" xfId="0" applyFont="1" applyFill="1" applyBorder="1" applyAlignment="1">
      <alignment horizontal="center" wrapText="1"/>
    </xf>
    <xf numFmtId="0" fontId="33" fillId="19" borderId="12" xfId="0" applyFont="1" applyFill="1" applyBorder="1"/>
    <xf numFmtId="0" fontId="34" fillId="19" borderId="12" xfId="0" applyFont="1" applyFill="1" applyBorder="1"/>
    <xf numFmtId="0" fontId="7" fillId="3" borderId="5" xfId="0" applyFont="1" applyFill="1" applyBorder="1" applyAlignment="1">
      <alignment vertical="justify"/>
    </xf>
    <xf numFmtId="0" fontId="20" fillId="3" borderId="12" xfId="0" applyFont="1" applyFill="1" applyBorder="1" applyAlignment="1">
      <alignment vertical="justify"/>
    </xf>
    <xf numFmtId="0" fontId="7" fillId="3" borderId="12" xfId="0" applyFont="1" applyFill="1" applyBorder="1" applyAlignment="1">
      <alignment vertical="justify"/>
    </xf>
    <xf numFmtId="0" fontId="21" fillId="19" borderId="12" xfId="0" applyFont="1" applyFill="1" applyBorder="1" applyAlignment="1">
      <alignment vertical="justify"/>
    </xf>
    <xf numFmtId="0" fontId="21" fillId="19" borderId="11" xfId="0" applyFont="1" applyFill="1" applyBorder="1" applyAlignment="1">
      <alignment vertical="justify"/>
    </xf>
    <xf numFmtId="0" fontId="33" fillId="0" borderId="12" xfId="0" applyFont="1" applyBorder="1"/>
    <xf numFmtId="0" fontId="34" fillId="0" borderId="15" xfId="0" applyFont="1" applyBorder="1"/>
    <xf numFmtId="4" fontId="16" fillId="0" borderId="12" xfId="0" applyNumberFormat="1" applyFont="1" applyBorder="1" applyAlignment="1">
      <alignment horizontal="right"/>
    </xf>
    <xf numFmtId="2" fontId="16" fillId="0" borderId="12" xfId="0" applyNumberFormat="1" applyFont="1" applyBorder="1" applyAlignment="1">
      <alignment horizontal="right"/>
    </xf>
    <xf numFmtId="4" fontId="16" fillId="0" borderId="11" xfId="0" applyNumberFormat="1" applyFont="1" applyBorder="1" applyAlignment="1">
      <alignment horizontal="right"/>
    </xf>
    <xf numFmtId="4" fontId="16" fillId="0" borderId="15" xfId="0" applyNumberFormat="1" applyFont="1" applyBorder="1" applyAlignment="1">
      <alignment horizontal="right"/>
    </xf>
    <xf numFmtId="4" fontId="16" fillId="0" borderId="17" xfId="0" applyNumberFormat="1" applyFont="1" applyBorder="1" applyAlignment="1">
      <alignment horizontal="right"/>
    </xf>
    <xf numFmtId="4" fontId="23" fillId="0" borderId="12" xfId="0" applyNumberFormat="1" applyFont="1" applyBorder="1" applyAlignment="1">
      <alignment horizontal="right"/>
    </xf>
    <xf numFmtId="4" fontId="17" fillId="0" borderId="12" xfId="0" applyNumberFormat="1" applyFont="1" applyBorder="1" applyAlignment="1">
      <alignment horizontal="right"/>
    </xf>
    <xf numFmtId="0" fontId="16" fillId="0" borderId="12" xfId="0" applyFont="1" applyBorder="1" applyAlignment="1">
      <alignment horizontal="right"/>
    </xf>
    <xf numFmtId="169" fontId="16" fillId="4" borderId="12" xfId="0" applyNumberFormat="1" applyFont="1" applyFill="1" applyBorder="1"/>
    <xf numFmtId="167" fontId="18" fillId="2" borderId="12" xfId="0" applyNumberFormat="1" applyFont="1" applyFill="1" applyBorder="1"/>
    <xf numFmtId="167" fontId="19" fillId="2" borderId="12" xfId="0" applyNumberFormat="1" applyFont="1" applyFill="1" applyBorder="1" applyAlignment="1">
      <alignment horizontal="left" vertical="justify"/>
    </xf>
    <xf numFmtId="0" fontId="20" fillId="2" borderId="10" xfId="0" applyFont="1" applyFill="1" applyBorder="1" applyAlignment="1">
      <alignment vertical="justify"/>
    </xf>
    <xf numFmtId="0" fontId="20" fillId="2" borderId="11" xfId="0" applyFont="1" applyFill="1" applyBorder="1" applyAlignment="1">
      <alignment vertical="justify"/>
    </xf>
    <xf numFmtId="0" fontId="7" fillId="2" borderId="11" xfId="0" applyFont="1" applyFill="1" applyBorder="1" applyAlignment="1">
      <alignment vertical="justify"/>
    </xf>
    <xf numFmtId="0" fontId="21" fillId="2" borderId="9" xfId="0" applyFont="1" applyFill="1" applyBorder="1" applyAlignment="1">
      <alignment vertical="justify"/>
    </xf>
    <xf numFmtId="167" fontId="18" fillId="2" borderId="16" xfId="0" applyNumberFormat="1" applyFont="1" applyFill="1" applyBorder="1"/>
    <xf numFmtId="4" fontId="16" fillId="2" borderId="16" xfId="0" applyNumberFormat="1" applyFont="1" applyFill="1" applyBorder="1" applyAlignment="1">
      <alignment horizontal="right"/>
    </xf>
    <xf numFmtId="4" fontId="23" fillId="2" borderId="12" xfId="0" applyNumberFormat="1" applyFont="1" applyFill="1" applyBorder="1" applyAlignment="1">
      <alignment horizontal="right"/>
    </xf>
    <xf numFmtId="4" fontId="17" fillId="2" borderId="12" xfId="0" applyNumberFormat="1" applyFont="1" applyFill="1" applyBorder="1" applyAlignment="1">
      <alignment horizontal="right"/>
    </xf>
    <xf numFmtId="0" fontId="16" fillId="2" borderId="12" xfId="0" applyFont="1" applyFill="1" applyBorder="1" applyAlignment="1">
      <alignment horizontal="right"/>
    </xf>
    <xf numFmtId="4" fontId="29" fillId="9" borderId="18" xfId="0" applyNumberFormat="1" applyFont="1" applyFill="1" applyBorder="1"/>
    <xf numFmtId="0" fontId="20" fillId="21" borderId="10" xfId="0" applyFont="1" applyFill="1" applyBorder="1" applyAlignment="1">
      <alignment vertical="justify"/>
    </xf>
    <xf numFmtId="0" fontId="7" fillId="21" borderId="10" xfId="0" applyFont="1" applyFill="1" applyBorder="1" applyAlignment="1">
      <alignment vertical="justify"/>
    </xf>
    <xf numFmtId="0" fontId="7" fillId="21" borderId="14" xfId="0" applyFont="1" applyFill="1" applyBorder="1" applyAlignment="1">
      <alignment vertical="justify"/>
    </xf>
    <xf numFmtId="0" fontId="7" fillId="0" borderId="12" xfId="0" applyFont="1" applyBorder="1" applyAlignment="1">
      <alignment vertical="justify"/>
    </xf>
    <xf numFmtId="0" fontId="7" fillId="21" borderId="12" xfId="0" applyFont="1" applyFill="1" applyBorder="1" applyAlignment="1">
      <alignment vertical="justify"/>
    </xf>
    <xf numFmtId="0" fontId="20" fillId="21" borderId="12" xfId="0" applyFont="1" applyFill="1" applyBorder="1" applyAlignment="1">
      <alignment vertical="justify"/>
    </xf>
    <xf numFmtId="0" fontId="20" fillId="0" borderId="12" xfId="0" applyFont="1" applyBorder="1" applyAlignment="1">
      <alignment vertical="justify"/>
    </xf>
    <xf numFmtId="0" fontId="21" fillId="21" borderId="12" xfId="0" applyFont="1" applyFill="1" applyBorder="1" applyAlignment="1">
      <alignment vertical="justify"/>
    </xf>
    <xf numFmtId="0" fontId="21" fillId="0" borderId="12" xfId="0" applyFont="1" applyBorder="1" applyAlignment="1">
      <alignment vertical="justify"/>
    </xf>
    <xf numFmtId="1" fontId="21" fillId="6" borderId="11" xfId="0" applyNumberFormat="1" applyFont="1" applyFill="1" applyBorder="1" applyAlignment="1">
      <alignment vertical="top"/>
    </xf>
    <xf numFmtId="167" fontId="18" fillId="0" borderId="13" xfId="0" applyNumberFormat="1" applyFont="1" applyBorder="1"/>
    <xf numFmtId="4" fontId="16" fillId="0" borderId="16" xfId="0" applyNumberFormat="1" applyFont="1" applyBorder="1" applyAlignment="1">
      <alignment horizontal="right"/>
    </xf>
    <xf numFmtId="4" fontId="23" fillId="0" borderId="9" xfId="0" applyNumberFormat="1" applyFont="1" applyBorder="1" applyAlignment="1">
      <alignment horizontal="right"/>
    </xf>
    <xf numFmtId="4" fontId="17" fillId="0" borderId="19" xfId="0" applyNumberFormat="1" applyFont="1" applyBorder="1" applyAlignment="1">
      <alignment horizontal="right"/>
    </xf>
    <xf numFmtId="4" fontId="16" fillId="0" borderId="19" xfId="0" applyNumberFormat="1" applyFont="1" applyBorder="1" applyAlignment="1">
      <alignment horizontal="right"/>
    </xf>
    <xf numFmtId="0" fontId="16" fillId="0" borderId="19" xfId="0" applyFont="1" applyBorder="1" applyAlignment="1">
      <alignment horizontal="right"/>
    </xf>
    <xf numFmtId="169" fontId="16" fillId="4" borderId="6" xfId="0" applyNumberFormat="1" applyFont="1" applyFill="1" applyBorder="1"/>
    <xf numFmtId="169" fontId="16" fillId="4" borderId="7" xfId="0" applyNumberFormat="1" applyFont="1" applyFill="1" applyBorder="1"/>
    <xf numFmtId="167" fontId="19" fillId="2" borderId="15" xfId="0" applyNumberFormat="1" applyFont="1" applyFill="1" applyBorder="1" applyAlignment="1">
      <alignment horizontal="left" vertical="justify"/>
    </xf>
    <xf numFmtId="167" fontId="24" fillId="2" borderId="12" xfId="0" applyNumberFormat="1" applyFont="1" applyFill="1" applyBorder="1" applyAlignment="1">
      <alignment vertical="justify"/>
    </xf>
    <xf numFmtId="0" fontId="20" fillId="2" borderId="12" xfId="0" applyFont="1" applyFill="1" applyBorder="1" applyAlignment="1">
      <alignment vertical="justify"/>
    </xf>
    <xf numFmtId="0" fontId="7" fillId="2" borderId="12" xfId="0" applyFont="1" applyFill="1" applyBorder="1" applyAlignment="1">
      <alignment vertical="justify"/>
    </xf>
    <xf numFmtId="0" fontId="7" fillId="2" borderId="19" xfId="0" applyFont="1" applyFill="1" applyBorder="1" applyAlignment="1">
      <alignment vertical="justify"/>
    </xf>
    <xf numFmtId="0" fontId="20" fillId="2" borderId="19" xfId="0" applyFont="1" applyFill="1" applyBorder="1" applyAlignment="1">
      <alignment vertical="justify"/>
    </xf>
    <xf numFmtId="0" fontId="20" fillId="2" borderId="20" xfId="0" applyFont="1" applyFill="1" applyBorder="1" applyAlignment="1">
      <alignment vertical="justify"/>
    </xf>
    <xf numFmtId="0" fontId="21" fillId="2" borderId="12" xfId="0" applyFont="1" applyFill="1" applyBorder="1" applyAlignment="1">
      <alignment vertical="justify"/>
    </xf>
    <xf numFmtId="1" fontId="21" fillId="2" borderId="11" xfId="0" applyNumberFormat="1" applyFont="1" applyFill="1" applyBorder="1" applyAlignment="1">
      <alignment vertical="top"/>
    </xf>
    <xf numFmtId="167" fontId="18" fillId="2" borderId="21" xfId="0" applyNumberFormat="1" applyFont="1" applyFill="1" applyBorder="1"/>
    <xf numFmtId="4" fontId="16" fillId="2" borderId="17" xfId="0" applyNumberFormat="1" applyFont="1" applyFill="1" applyBorder="1" applyAlignment="1">
      <alignment horizontal="right"/>
    </xf>
    <xf numFmtId="4" fontId="23" fillId="2" borderId="15" xfId="0" applyNumberFormat="1" applyFont="1" applyFill="1" applyBorder="1" applyAlignment="1">
      <alignment horizontal="right"/>
    </xf>
    <xf numFmtId="0" fontId="20" fillId="22" borderId="10" xfId="0" applyFont="1" applyFill="1" applyBorder="1" applyAlignment="1">
      <alignment vertical="justify"/>
    </xf>
    <xf numFmtId="0" fontId="20" fillId="0" borderId="11" xfId="0" applyFont="1" applyBorder="1" applyAlignment="1">
      <alignment vertical="justify"/>
    </xf>
    <xf numFmtId="0" fontId="7" fillId="22" borderId="11" xfId="0" applyFont="1" applyFill="1" applyBorder="1" applyAlignment="1">
      <alignment vertical="justify"/>
    </xf>
    <xf numFmtId="0" fontId="7" fillId="0" borderId="11" xfId="0" applyFont="1" applyBorder="1" applyAlignment="1">
      <alignment vertical="justify"/>
    </xf>
    <xf numFmtId="0" fontId="20" fillId="22" borderId="11" xfId="0" applyFont="1" applyFill="1" applyBorder="1" applyAlignment="1">
      <alignment vertical="justify"/>
    </xf>
    <xf numFmtId="0" fontId="20" fillId="0" borderId="22" xfId="0" applyFont="1" applyBorder="1" applyAlignment="1">
      <alignment vertical="justify"/>
    </xf>
    <xf numFmtId="0" fontId="21" fillId="7" borderId="12" xfId="0" applyFont="1" applyFill="1" applyBorder="1" applyAlignment="1">
      <alignment vertical="justify"/>
    </xf>
    <xf numFmtId="4" fontId="23" fillId="0" borderId="15" xfId="0" applyNumberFormat="1" applyFont="1" applyBorder="1" applyAlignment="1">
      <alignment horizontal="right"/>
    </xf>
    <xf numFmtId="0" fontId="7" fillId="22" borderId="10" xfId="0" applyFont="1" applyFill="1" applyBorder="1" applyAlignment="1">
      <alignment vertical="justify"/>
    </xf>
    <xf numFmtId="0" fontId="20" fillId="22" borderId="14" xfId="0" applyFont="1" applyFill="1" applyBorder="1" applyAlignment="1">
      <alignment vertical="justify"/>
    </xf>
    <xf numFmtId="167" fontId="19" fillId="0" borderId="15" xfId="0" applyNumberFormat="1" applyFont="1" applyBorder="1" applyAlignment="1">
      <alignment horizontal="left" vertical="justify"/>
    </xf>
    <xf numFmtId="167" fontId="18" fillId="11" borderId="12" xfId="0" applyNumberFormat="1" applyFont="1" applyFill="1" applyBorder="1"/>
    <xf numFmtId="167" fontId="19" fillId="11" borderId="15" xfId="0" applyNumberFormat="1" applyFont="1" applyFill="1" applyBorder="1" applyAlignment="1">
      <alignment horizontal="left" vertical="justify"/>
    </xf>
    <xf numFmtId="0" fontId="20" fillId="23" borderId="10" xfId="0" applyFont="1" applyFill="1" applyBorder="1" applyAlignment="1">
      <alignment vertical="justify"/>
    </xf>
    <xf numFmtId="0" fontId="20" fillId="23" borderId="11" xfId="0" applyFont="1" applyFill="1" applyBorder="1" applyAlignment="1">
      <alignment vertical="justify"/>
    </xf>
    <xf numFmtId="0" fontId="7" fillId="23" borderId="11" xfId="0" applyFont="1" applyFill="1" applyBorder="1" applyAlignment="1">
      <alignment vertical="justify"/>
    </xf>
    <xf numFmtId="0" fontId="21" fillId="11" borderId="9" xfId="0" applyFont="1" applyFill="1" applyBorder="1" applyAlignment="1">
      <alignment vertical="justify"/>
    </xf>
    <xf numFmtId="1" fontId="21" fillId="11" borderId="10" xfId="0" applyNumberFormat="1" applyFont="1" applyFill="1" applyBorder="1" applyAlignment="1">
      <alignment vertical="top"/>
    </xf>
    <xf numFmtId="167" fontId="19" fillId="11" borderId="12" xfId="0" applyNumberFormat="1" applyFont="1" applyFill="1" applyBorder="1" applyAlignment="1">
      <alignment horizontal="left" vertical="justify"/>
    </xf>
    <xf numFmtId="4" fontId="16" fillId="11" borderId="12" xfId="0" applyNumberFormat="1" applyFont="1" applyFill="1" applyBorder="1" applyAlignment="1">
      <alignment horizontal="right"/>
    </xf>
    <xf numFmtId="2" fontId="16" fillId="11" borderId="12" xfId="0" applyNumberFormat="1" applyFont="1" applyFill="1" applyBorder="1" applyAlignment="1">
      <alignment horizontal="right"/>
    </xf>
    <xf numFmtId="4" fontId="16" fillId="11" borderId="6" xfId="0" applyNumberFormat="1" applyFont="1" applyFill="1" applyBorder="1" applyAlignment="1">
      <alignment horizontal="right"/>
    </xf>
    <xf numFmtId="4" fontId="23" fillId="11" borderId="12" xfId="0" applyNumberFormat="1" applyFont="1" applyFill="1" applyBorder="1" applyAlignment="1">
      <alignment horizontal="right"/>
    </xf>
    <xf numFmtId="4" fontId="17" fillId="11" borderId="12" xfId="0" applyNumberFormat="1" applyFont="1" applyFill="1" applyBorder="1" applyAlignment="1">
      <alignment horizontal="right"/>
    </xf>
    <xf numFmtId="0" fontId="16" fillId="11" borderId="12" xfId="0" applyFont="1" applyFill="1" applyBorder="1" applyAlignment="1">
      <alignment horizontal="right"/>
    </xf>
    <xf numFmtId="4" fontId="16" fillId="11" borderId="15" xfId="0" applyNumberFormat="1" applyFont="1" applyFill="1" applyBorder="1" applyAlignment="1">
      <alignment horizontal="right"/>
    </xf>
    <xf numFmtId="0" fontId="35" fillId="24" borderId="12" xfId="0" applyFont="1" applyFill="1" applyBorder="1" applyAlignment="1">
      <alignment horizontal="left" vertical="justify"/>
    </xf>
    <xf numFmtId="0" fontId="7" fillId="24" borderId="12" xfId="0" applyFont="1" applyFill="1" applyBorder="1" applyAlignment="1">
      <alignment vertical="justify"/>
    </xf>
    <xf numFmtId="0" fontId="2" fillId="24" borderId="12" xfId="0" applyFont="1" applyFill="1" applyBorder="1" applyAlignment="1">
      <alignment vertical="justify"/>
    </xf>
    <xf numFmtId="0" fontId="21" fillId="5" borderId="12" xfId="0" applyFont="1" applyFill="1" applyBorder="1" applyAlignment="1">
      <alignment vertical="justify"/>
    </xf>
    <xf numFmtId="1" fontId="21" fillId="6" borderId="12" xfId="0" applyNumberFormat="1" applyFont="1" applyFill="1" applyBorder="1" applyAlignment="1">
      <alignment vertical="top"/>
    </xf>
    <xf numFmtId="167" fontId="18" fillId="24" borderId="6" xfId="0" applyNumberFormat="1" applyFont="1" applyFill="1" applyBorder="1"/>
    <xf numFmtId="0" fontId="35" fillId="24" borderId="7" xfId="0" applyFont="1" applyFill="1" applyBorder="1" applyAlignment="1">
      <alignment horizontal="left" vertical="justify"/>
    </xf>
    <xf numFmtId="4" fontId="16" fillId="24" borderId="7" xfId="0" applyNumberFormat="1" applyFont="1" applyFill="1" applyBorder="1" applyAlignment="1">
      <alignment horizontal="right"/>
    </xf>
    <xf numFmtId="4" fontId="16" fillId="24" borderId="13" xfId="0" applyNumberFormat="1" applyFont="1" applyFill="1" applyBorder="1" applyAlignment="1">
      <alignment horizontal="right"/>
    </xf>
    <xf numFmtId="2" fontId="16" fillId="24" borderId="6" xfId="0" applyNumberFormat="1" applyFont="1" applyFill="1" applyBorder="1" applyAlignment="1">
      <alignment horizontal="right"/>
    </xf>
    <xf numFmtId="4" fontId="23" fillId="24" borderId="23" xfId="0" applyNumberFormat="1" applyFont="1" applyFill="1" applyBorder="1" applyAlignment="1">
      <alignment horizontal="right"/>
    </xf>
    <xf numFmtId="4" fontId="17" fillId="24" borderId="15" xfId="0" applyNumberFormat="1" applyFont="1" applyFill="1" applyBorder="1" applyAlignment="1">
      <alignment horizontal="right"/>
    </xf>
    <xf numFmtId="4" fontId="16" fillId="24" borderId="15" xfId="0" applyNumberFormat="1" applyFont="1" applyFill="1" applyBorder="1" applyAlignment="1">
      <alignment horizontal="right"/>
    </xf>
    <xf numFmtId="0" fontId="16" fillId="24" borderId="15" xfId="0" applyFont="1" applyFill="1" applyBorder="1" applyAlignment="1">
      <alignment horizontal="right"/>
    </xf>
    <xf numFmtId="4" fontId="29" fillId="13" borderId="0" xfId="0" applyNumberFormat="1" applyFont="1" applyFill="1"/>
    <xf numFmtId="0" fontId="1" fillId="0" borderId="5" xfId="0" applyFont="1" applyBorder="1"/>
    <xf numFmtId="0" fontId="36" fillId="0" borderId="12" xfId="0" applyFont="1" applyBorder="1" applyAlignment="1">
      <alignment vertical="justify"/>
    </xf>
    <xf numFmtId="0" fontId="15" fillId="0" borderId="12" xfId="0" applyFont="1" applyBorder="1"/>
    <xf numFmtId="1" fontId="37" fillId="0" borderId="12" xfId="0" applyNumberFormat="1" applyFont="1" applyBorder="1" applyAlignment="1">
      <alignment vertical="top"/>
    </xf>
    <xf numFmtId="0" fontId="17" fillId="0" borderId="22" xfId="0" applyFont="1" applyBorder="1"/>
    <xf numFmtId="0" fontId="38" fillId="0" borderId="15" xfId="0" applyFont="1" applyBorder="1"/>
    <xf numFmtId="0" fontId="16" fillId="0" borderId="11" xfId="0" applyFont="1" applyBorder="1"/>
    <xf numFmtId="4" fontId="16" fillId="25" borderId="10" xfId="0" applyNumberFormat="1" applyFont="1" applyFill="1" applyBorder="1" applyAlignment="1">
      <alignment horizontal="right"/>
    </xf>
    <xf numFmtId="4" fontId="9" fillId="25" borderId="10" xfId="0" applyNumberFormat="1" applyFont="1" applyFill="1" applyBorder="1" applyAlignment="1">
      <alignment horizontal="right" vertical="justify"/>
    </xf>
    <xf numFmtId="4" fontId="16" fillId="18" borderId="10" xfId="0" applyNumberFormat="1" applyFont="1" applyFill="1" applyBorder="1" applyAlignment="1">
      <alignment horizontal="right"/>
    </xf>
    <xf numFmtId="4" fontId="16" fillId="18" borderId="14" xfId="0" applyNumberFormat="1" applyFont="1" applyFill="1" applyBorder="1" applyAlignment="1">
      <alignment horizontal="right"/>
    </xf>
    <xf numFmtId="170" fontId="17" fillId="18" borderId="24" xfId="0" applyNumberFormat="1" applyFont="1" applyFill="1" applyBorder="1" applyAlignment="1">
      <alignment horizontal="center" vertical="justify"/>
    </xf>
    <xf numFmtId="170" fontId="17" fillId="26" borderId="25" xfId="0" applyNumberFormat="1" applyFont="1" applyFill="1" applyBorder="1" applyAlignment="1">
      <alignment horizontal="center" vertical="justify"/>
    </xf>
    <xf numFmtId="0" fontId="17" fillId="3" borderId="25" xfId="0" applyFont="1" applyFill="1" applyBorder="1" applyAlignment="1">
      <alignment horizontal="center" vertical="justify"/>
    </xf>
    <xf numFmtId="3" fontId="17" fillId="3" borderId="25" xfId="0" applyNumberFormat="1" applyFont="1" applyFill="1" applyBorder="1" applyAlignment="1">
      <alignment horizontal="center" vertical="justify"/>
    </xf>
    <xf numFmtId="4" fontId="17" fillId="3" borderId="25" xfId="0" applyNumberFormat="1" applyFont="1" applyFill="1" applyBorder="1" applyAlignment="1">
      <alignment horizontal="center" vertical="justify"/>
    </xf>
    <xf numFmtId="169" fontId="17" fillId="4" borderId="24" xfId="0" applyNumberFormat="1" applyFont="1" applyFill="1" applyBorder="1" applyAlignment="1">
      <alignment horizontal="center" vertical="justify"/>
    </xf>
    <xf numFmtId="169" fontId="17" fillId="4" borderId="25" xfId="0" applyNumberFormat="1" applyFont="1" applyFill="1" applyBorder="1" applyAlignment="1">
      <alignment horizontal="center" vertical="justify"/>
    </xf>
    <xf numFmtId="169" fontId="17" fillId="4" borderId="26" xfId="0" applyNumberFormat="1" applyFont="1" applyFill="1" applyBorder="1" applyAlignment="1">
      <alignment horizontal="center" vertical="justify"/>
    </xf>
    <xf numFmtId="4" fontId="39" fillId="2" borderId="0" xfId="0" applyNumberFormat="1" applyFont="1" applyFill="1"/>
    <xf numFmtId="0" fontId="16" fillId="2" borderId="0" xfId="0" applyFont="1" applyFill="1"/>
    <xf numFmtId="0" fontId="36" fillId="0" borderId="7" xfId="0" applyFont="1" applyBorder="1"/>
    <xf numFmtId="0" fontId="7" fillId="0" borderId="7" xfId="0" applyFont="1" applyBorder="1"/>
    <xf numFmtId="0" fontId="7" fillId="0" borderId="13" xfId="0" applyFont="1" applyBorder="1"/>
    <xf numFmtId="0" fontId="7" fillId="0" borderId="23" xfId="0" applyFont="1" applyBorder="1" applyAlignment="1">
      <alignment horizontal="center" vertical="top"/>
    </xf>
    <xf numFmtId="0" fontId="10" fillId="0" borderId="23" xfId="0" applyFont="1" applyBorder="1" applyAlignment="1">
      <alignment horizontal="center" vertical="top"/>
    </xf>
    <xf numFmtId="0" fontId="7" fillId="0" borderId="27" xfId="0" applyFont="1" applyBorder="1" applyAlignment="1">
      <alignment horizontal="center" vertical="top"/>
    </xf>
    <xf numFmtId="0" fontId="7" fillId="0" borderId="23" xfId="0" applyFont="1" applyBorder="1" applyAlignment="1">
      <alignment horizontal="center" vertical="top" wrapText="1"/>
    </xf>
    <xf numFmtId="0" fontId="7" fillId="0" borderId="19" xfId="0" applyFont="1" applyBorder="1" applyAlignment="1">
      <alignment horizontal="center" vertical="top"/>
    </xf>
    <xf numFmtId="0" fontId="7" fillId="0" borderId="20" xfId="0" applyFont="1" applyBorder="1" applyAlignment="1">
      <alignment horizontal="center" vertical="top"/>
    </xf>
    <xf numFmtId="0" fontId="7" fillId="20" borderId="28" xfId="0" applyFont="1" applyFill="1" applyBorder="1" applyAlignment="1">
      <alignment vertical="top"/>
    </xf>
    <xf numFmtId="0" fontId="7" fillId="20" borderId="19" xfId="0" applyFont="1" applyFill="1" applyBorder="1" applyAlignment="1">
      <alignment vertical="top"/>
    </xf>
    <xf numFmtId="0" fontId="7" fillId="20" borderId="20" xfId="0" applyFont="1" applyFill="1" applyBorder="1" applyAlignment="1">
      <alignment horizontal="center" vertical="top"/>
    </xf>
    <xf numFmtId="0" fontId="7" fillId="20" borderId="29" xfId="0" applyFont="1" applyFill="1" applyBorder="1" applyAlignment="1">
      <alignment horizontal="center" vertical="top"/>
    </xf>
    <xf numFmtId="0" fontId="7" fillId="20" borderId="30" xfId="0" applyFont="1" applyFill="1" applyBorder="1" applyAlignment="1">
      <alignment horizontal="center" vertical="top"/>
    </xf>
    <xf numFmtId="0" fontId="7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/>
    </xf>
    <xf numFmtId="0" fontId="7" fillId="0" borderId="0" xfId="0" applyFont="1" applyAlignment="1">
      <alignment vertical="top"/>
    </xf>
    <xf numFmtId="0" fontId="7" fillId="0" borderId="0" xfId="0" applyFont="1"/>
    <xf numFmtId="0" fontId="15" fillId="0" borderId="19" xfId="0" applyFont="1" applyBorder="1" applyAlignment="1">
      <alignment horizontal="distributed" vertical="top"/>
    </xf>
    <xf numFmtId="1" fontId="15" fillId="0" borderId="19" xfId="0" applyNumberFormat="1" applyFont="1" applyBorder="1" applyAlignment="1">
      <alignment horizontal="distributed" vertical="top"/>
    </xf>
    <xf numFmtId="0" fontId="17" fillId="0" borderId="12" xfId="0" applyFont="1" applyBorder="1"/>
    <xf numFmtId="0" fontId="38" fillId="0" borderId="12" xfId="0" applyFont="1" applyBorder="1"/>
    <xf numFmtId="0" fontId="16" fillId="0" borderId="12" xfId="0" applyFont="1" applyBorder="1"/>
    <xf numFmtId="4" fontId="16" fillId="25" borderId="12" xfId="0" applyNumberFormat="1" applyFont="1" applyFill="1" applyBorder="1" applyAlignment="1">
      <alignment horizontal="right"/>
    </xf>
    <xf numFmtId="4" fontId="40" fillId="2" borderId="12" xfId="0" applyNumberFormat="1" applyFont="1" applyFill="1" applyBorder="1" applyAlignment="1">
      <alignment horizontal="right" vertical="top"/>
    </xf>
    <xf numFmtId="4" fontId="9" fillId="0" borderId="12" xfId="0" applyNumberFormat="1" applyFont="1" applyBorder="1"/>
    <xf numFmtId="4" fontId="5" fillId="0" borderId="12" xfId="0" applyNumberFormat="1" applyFont="1" applyBorder="1"/>
    <xf numFmtId="9" fontId="5" fillId="0" borderId="12" xfId="0" applyNumberFormat="1" applyFont="1" applyBorder="1"/>
    <xf numFmtId="164" fontId="3" fillId="0" borderId="12" xfId="0" applyNumberFormat="1" applyFont="1" applyBorder="1"/>
    <xf numFmtId="0" fontId="41" fillId="0" borderId="19" xfId="0" applyFont="1" applyBorder="1" applyAlignment="1">
      <alignment horizontal="center" vertical="justify"/>
    </xf>
    <xf numFmtId="0" fontId="40" fillId="26" borderId="19" xfId="0" applyFont="1" applyFill="1" applyBorder="1" applyAlignment="1">
      <alignment horizontal="center" vertical="justify"/>
    </xf>
    <xf numFmtId="4" fontId="12" fillId="27" borderId="31" xfId="0" applyNumberFormat="1" applyFont="1" applyFill="1" applyBorder="1" applyAlignment="1">
      <alignment horizontal="center" vertical="justify"/>
    </xf>
    <xf numFmtId="4" fontId="16" fillId="27" borderId="19" xfId="0" applyNumberFormat="1" applyFont="1" applyFill="1" applyBorder="1" applyAlignment="1">
      <alignment horizontal="center" vertical="justify"/>
    </xf>
    <xf numFmtId="4" fontId="17" fillId="27" borderId="19" xfId="0" applyNumberFormat="1" applyFont="1" applyFill="1" applyBorder="1" applyAlignment="1">
      <alignment horizontal="center" vertical="justify"/>
    </xf>
    <xf numFmtId="49" fontId="17" fillId="27" borderId="19" xfId="0" applyNumberFormat="1" applyFont="1" applyFill="1" applyBorder="1" applyAlignment="1">
      <alignment horizontal="center" vertical="justify"/>
    </xf>
    <xf numFmtId="4" fontId="17" fillId="0" borderId="0" xfId="0" applyNumberFormat="1" applyFont="1" applyAlignment="1">
      <alignment horizontal="center" vertical="justify"/>
    </xf>
    <xf numFmtId="0" fontId="17" fillId="0" borderId="0" xfId="0" applyFont="1" applyAlignment="1">
      <alignment horizontal="center" vertical="justify"/>
    </xf>
    <xf numFmtId="167" fontId="13" fillId="0" borderId="2" xfId="0" applyNumberFormat="1" applyFont="1" applyBorder="1"/>
    <xf numFmtId="0" fontId="7" fillId="0" borderId="2" xfId="0" applyFont="1" applyBorder="1"/>
    <xf numFmtId="0" fontId="6" fillId="0" borderId="2" xfId="0" applyFont="1" applyBorder="1" applyAlignment="1">
      <alignment vertical="justify"/>
    </xf>
    <xf numFmtId="0" fontId="6" fillId="0" borderId="5" xfId="0" applyFont="1" applyBorder="1" applyAlignment="1">
      <alignment vertical="justify"/>
    </xf>
    <xf numFmtId="0" fontId="42" fillId="0" borderId="32" xfId="0" applyFont="1" applyBorder="1" applyAlignment="1">
      <alignment horizontal="center" vertical="justify"/>
    </xf>
    <xf numFmtId="0" fontId="11" fillId="0" borderId="33" xfId="0" applyFont="1" applyBorder="1" applyAlignment="1">
      <alignment vertical="justify"/>
    </xf>
    <xf numFmtId="0" fontId="6" fillId="0" borderId="33" xfId="0" applyFont="1" applyBorder="1" applyAlignment="1">
      <alignment vertical="justify"/>
    </xf>
    <xf numFmtId="2" fontId="6" fillId="0" borderId="33" xfId="0" applyNumberFormat="1" applyFont="1" applyBorder="1" applyAlignment="1">
      <alignment horizontal="center" vertical="justify"/>
    </xf>
    <xf numFmtId="2" fontId="6" fillId="0" borderId="34" xfId="0" applyNumberFormat="1" applyFont="1" applyBorder="1" applyAlignment="1">
      <alignment horizontal="center" vertical="justify"/>
    </xf>
    <xf numFmtId="0" fontId="1" fillId="0" borderId="0" xfId="0" applyFont="1" applyAlignment="1">
      <alignment horizontal="center" vertical="justify"/>
    </xf>
    <xf numFmtId="0" fontId="6" fillId="18" borderId="35" xfId="0" applyFont="1" applyFill="1" applyBorder="1" applyAlignment="1">
      <alignment vertical="justify"/>
    </xf>
    <xf numFmtId="0" fontId="43" fillId="18" borderId="12" xfId="0" applyFont="1" applyFill="1" applyBorder="1" applyAlignment="1">
      <alignment vertical="justify"/>
    </xf>
    <xf numFmtId="0" fontId="6" fillId="18" borderId="16" xfId="0" applyFont="1" applyFill="1" applyBorder="1" applyAlignment="1">
      <alignment horizontal="center" vertical="justify"/>
    </xf>
    <xf numFmtId="0" fontId="6" fillId="18" borderId="36" xfId="0" applyFont="1" applyFill="1" applyBorder="1" applyAlignment="1">
      <alignment horizontal="center" vertical="justify"/>
    </xf>
    <xf numFmtId="0" fontId="6" fillId="18" borderId="37" xfId="0" applyFont="1" applyFill="1" applyBorder="1" applyAlignment="1">
      <alignment horizontal="center" vertical="justify"/>
    </xf>
    <xf numFmtId="0" fontId="7" fillId="0" borderId="0" xfId="0" applyFont="1" applyAlignment="1">
      <alignment horizontal="center"/>
    </xf>
    <xf numFmtId="0" fontId="12" fillId="0" borderId="0" xfId="0" applyFont="1"/>
    <xf numFmtId="0" fontId="10" fillId="0" borderId="0" xfId="0" applyFont="1"/>
    <xf numFmtId="0" fontId="15" fillId="0" borderId="0" xfId="0" applyFont="1"/>
    <xf numFmtId="0" fontId="37" fillId="0" borderId="0" xfId="0" applyFont="1" applyAlignment="1">
      <alignment vertical="top"/>
    </xf>
    <xf numFmtId="167" fontId="16" fillId="0" borderId="12" xfId="0" applyNumberFormat="1" applyFont="1" applyBorder="1" applyAlignment="1">
      <alignment vertical="top" wrapText="1"/>
    </xf>
    <xf numFmtId="167" fontId="16" fillId="0" borderId="12" xfId="0" applyNumberFormat="1" applyFont="1" applyBorder="1" applyAlignment="1">
      <alignment wrapText="1"/>
    </xf>
    <xf numFmtId="2" fontId="39" fillId="0" borderId="12" xfId="0" applyNumberFormat="1" applyFont="1" applyBorder="1" applyAlignment="1">
      <alignment vertical="justify"/>
    </xf>
    <xf numFmtId="0" fontId="44" fillId="0" borderId="12" xfId="0" applyFont="1" applyBorder="1"/>
    <xf numFmtId="167" fontId="16" fillId="27" borderId="12" xfId="0" applyNumberFormat="1" applyFont="1" applyFill="1" applyBorder="1" applyAlignment="1">
      <alignment wrapText="1"/>
    </xf>
    <xf numFmtId="4" fontId="17" fillId="27" borderId="16" xfId="0" applyNumberFormat="1" applyFont="1" applyFill="1" applyBorder="1" applyAlignment="1">
      <alignment vertical="top" wrapText="1"/>
    </xf>
    <xf numFmtId="167" fontId="16" fillId="27" borderId="18" xfId="0" applyNumberFormat="1" applyFont="1" applyFill="1" applyBorder="1" applyAlignment="1">
      <alignment vertical="top" wrapText="1"/>
    </xf>
    <xf numFmtId="167" fontId="40" fillId="27" borderId="38" xfId="0" applyNumberFormat="1" applyFont="1" applyFill="1" applyBorder="1" applyAlignment="1">
      <alignment wrapText="1"/>
    </xf>
    <xf numFmtId="167" fontId="40" fillId="27" borderId="33" xfId="0" applyNumberFormat="1" applyFont="1" applyFill="1" applyBorder="1"/>
    <xf numFmtId="167" fontId="16" fillId="27" borderId="34" xfId="0" applyNumberFormat="1" applyFont="1" applyFill="1" applyBorder="1" applyAlignment="1">
      <alignment wrapText="1"/>
    </xf>
    <xf numFmtId="4" fontId="17" fillId="4" borderId="38" xfId="0" applyNumberFormat="1" applyFont="1" applyFill="1" applyBorder="1" applyAlignment="1">
      <alignment vertical="top" wrapText="1"/>
    </xf>
    <xf numFmtId="4" fontId="17" fillId="4" borderId="33" xfId="0" applyNumberFormat="1" applyFont="1" applyFill="1" applyBorder="1" applyAlignment="1">
      <alignment vertical="top" wrapText="1"/>
    </xf>
    <xf numFmtId="4" fontId="17" fillId="4" borderId="34" xfId="0" applyNumberFormat="1" applyFont="1" applyFill="1" applyBorder="1" applyAlignment="1">
      <alignment vertical="top" wrapText="1"/>
    </xf>
    <xf numFmtId="171" fontId="17" fillId="3" borderId="0" xfId="0" applyNumberFormat="1" applyFont="1" applyFill="1" applyAlignment="1">
      <alignment vertical="top"/>
    </xf>
    <xf numFmtId="4" fontId="17" fillId="26" borderId="0" xfId="0" applyNumberFormat="1" applyFont="1" applyFill="1" applyAlignment="1">
      <alignment horizontal="center"/>
    </xf>
    <xf numFmtId="0" fontId="17" fillId="26" borderId="0" xfId="0" applyFont="1" applyFill="1" applyAlignment="1">
      <alignment horizontal="center"/>
    </xf>
    <xf numFmtId="0" fontId="13" fillId="0" borderId="0" xfId="0" applyFont="1"/>
    <xf numFmtId="0" fontId="45" fillId="0" borderId="0" xfId="0" applyFont="1" applyAlignment="1">
      <alignment horizontal="left"/>
    </xf>
    <xf numFmtId="167" fontId="6" fillId="0" borderId="35" xfId="0" applyNumberFormat="1" applyFont="1" applyBorder="1" applyAlignment="1">
      <alignment horizontal="center" vertical="justify"/>
    </xf>
    <xf numFmtId="0" fontId="11" fillId="0" borderId="12" xfId="0" applyFont="1" applyBorder="1" applyAlignment="1">
      <alignment horizontal="center" vertical="justify"/>
    </xf>
    <xf numFmtId="0" fontId="6" fillId="0" borderId="12" xfId="0" applyFont="1" applyBorder="1" applyAlignment="1">
      <alignment vertical="justify"/>
    </xf>
    <xf numFmtId="0" fontId="6" fillId="0" borderId="12" xfId="0" applyFont="1" applyBorder="1" applyAlignment="1">
      <alignment horizontal="center" vertical="justify"/>
    </xf>
    <xf numFmtId="0" fontId="6" fillId="0" borderId="39" xfId="0" applyFont="1" applyBorder="1" applyAlignment="1">
      <alignment horizontal="center" vertical="justify"/>
    </xf>
    <xf numFmtId="167" fontId="1" fillId="10" borderId="40" xfId="0" applyNumberFormat="1" applyFont="1" applyFill="1" applyBorder="1" applyAlignment="1">
      <alignment vertical="justify"/>
    </xf>
    <xf numFmtId="0" fontId="13" fillId="10" borderId="7" xfId="0" applyFont="1" applyFill="1" applyBorder="1" applyAlignment="1">
      <alignment vertical="justify"/>
    </xf>
    <xf numFmtId="0" fontId="1" fillId="10" borderId="13" xfId="0" applyFont="1" applyFill="1" applyBorder="1" applyAlignment="1">
      <alignment horizontal="center" vertical="justify"/>
    </xf>
    <xf numFmtId="0" fontId="1" fillId="10" borderId="1" xfId="0" applyFont="1" applyFill="1" applyBorder="1" applyAlignment="1">
      <alignment horizontal="center" vertical="justify"/>
    </xf>
    <xf numFmtId="0" fontId="1" fillId="10" borderId="41" xfId="0" applyFont="1" applyFill="1" applyBorder="1" applyAlignment="1">
      <alignment horizontal="center" vertical="justify"/>
    </xf>
    <xf numFmtId="0" fontId="2" fillId="0" borderId="0" xfId="0" applyFont="1" applyAlignment="1">
      <alignment horizontal="center"/>
    </xf>
    <xf numFmtId="0" fontId="11" fillId="28" borderId="42" xfId="0" applyFont="1" applyFill="1" applyBorder="1" applyAlignment="1">
      <alignment horizontal="center" vertical="justify"/>
    </xf>
    <xf numFmtId="0" fontId="11" fillId="28" borderId="43" xfId="0" applyFont="1" applyFill="1" applyBorder="1" applyAlignment="1">
      <alignment horizontal="center" vertical="justify"/>
    </xf>
    <xf numFmtId="0" fontId="13" fillId="28" borderId="33" xfId="0" applyFont="1" applyFill="1" applyBorder="1" applyAlignment="1">
      <alignment horizontal="center" vertical="justify"/>
    </xf>
    <xf numFmtId="0" fontId="13" fillId="28" borderId="34" xfId="0" applyFont="1" applyFill="1" applyBorder="1" applyAlignment="1">
      <alignment horizontal="center" vertical="justify"/>
    </xf>
    <xf numFmtId="0" fontId="11" fillId="0" borderId="0" xfId="0" applyFont="1" applyAlignment="1">
      <alignment vertical="justify"/>
    </xf>
    <xf numFmtId="0" fontId="11" fillId="29" borderId="44" xfId="0" applyFont="1" applyFill="1" applyBorder="1" applyAlignment="1">
      <alignment horizontal="center" vertical="justify"/>
    </xf>
    <xf numFmtId="0" fontId="11" fillId="29" borderId="45" xfId="0" applyFont="1" applyFill="1" applyBorder="1" applyAlignment="1">
      <alignment horizontal="center" vertical="justify"/>
    </xf>
    <xf numFmtId="0" fontId="11" fillId="29" borderId="38" xfId="0" applyFont="1" applyFill="1" applyBorder="1" applyAlignment="1">
      <alignment horizontal="center" vertical="justify"/>
    </xf>
    <xf numFmtId="0" fontId="11" fillId="30" borderId="46" xfId="0" applyFont="1" applyFill="1" applyBorder="1" applyAlignment="1">
      <alignment horizontal="center" vertical="justify"/>
    </xf>
    <xf numFmtId="0" fontId="11" fillId="30" borderId="45" xfId="0" applyFont="1" applyFill="1" applyBorder="1" applyAlignment="1">
      <alignment horizontal="center" vertical="justify"/>
    </xf>
    <xf numFmtId="0" fontId="11" fillId="30" borderId="47" xfId="0" applyFont="1" applyFill="1" applyBorder="1" applyAlignment="1">
      <alignment horizontal="center" vertical="justify"/>
    </xf>
    <xf numFmtId="0" fontId="6" fillId="0" borderId="0" xfId="0" applyFont="1" applyAlignment="1">
      <alignment horizontal="center" vertical="justify"/>
    </xf>
    <xf numFmtId="0" fontId="11" fillId="31" borderId="44" xfId="0" applyFont="1" applyFill="1" applyBorder="1" applyAlignment="1">
      <alignment horizontal="center" vertical="justify"/>
    </xf>
    <xf numFmtId="0" fontId="11" fillId="31" borderId="45" xfId="0" applyFont="1" applyFill="1" applyBorder="1" applyAlignment="1">
      <alignment horizontal="center" vertical="justify"/>
    </xf>
    <xf numFmtId="0" fontId="11" fillId="31" borderId="47" xfId="0" applyFont="1" applyFill="1" applyBorder="1" applyAlignment="1">
      <alignment horizontal="center" vertical="justify"/>
    </xf>
    <xf numFmtId="0" fontId="13" fillId="32" borderId="6" xfId="0" applyFont="1" applyFill="1" applyBorder="1" applyAlignment="1">
      <alignment vertical="justify"/>
    </xf>
    <xf numFmtId="0" fontId="13" fillId="32" borderId="7" xfId="0" applyFont="1" applyFill="1" applyBorder="1" applyAlignment="1">
      <alignment vertical="justify"/>
    </xf>
    <xf numFmtId="0" fontId="1" fillId="32" borderId="7" xfId="0" applyFont="1" applyFill="1" applyBorder="1" applyAlignment="1">
      <alignment vertical="justify"/>
    </xf>
    <xf numFmtId="0" fontId="13" fillId="33" borderId="13" xfId="0" applyFont="1" applyFill="1" applyBorder="1" applyAlignment="1">
      <alignment vertical="justify"/>
    </xf>
    <xf numFmtId="0" fontId="16" fillId="33" borderId="19" xfId="0" applyFont="1" applyFill="1" applyBorder="1"/>
    <xf numFmtId="167" fontId="16" fillId="0" borderId="12" xfId="0" applyNumberFormat="1" applyFont="1" applyBorder="1"/>
    <xf numFmtId="4" fontId="39" fillId="0" borderId="12" xfId="0" applyNumberFormat="1" applyFont="1" applyBorder="1"/>
    <xf numFmtId="167" fontId="16" fillId="27" borderId="12" xfId="0" applyNumberFormat="1" applyFont="1" applyFill="1" applyBorder="1"/>
    <xf numFmtId="172" fontId="16" fillId="27" borderId="12" xfId="0" applyNumberFormat="1" applyFont="1" applyFill="1" applyBorder="1"/>
    <xf numFmtId="2" fontId="46" fillId="27" borderId="18" xfId="0" applyNumberFormat="1" applyFont="1" applyFill="1" applyBorder="1"/>
    <xf numFmtId="2" fontId="18" fillId="27" borderId="12" xfId="0" applyNumberFormat="1" applyFont="1" applyFill="1" applyBorder="1"/>
    <xf numFmtId="167" fontId="16" fillId="27" borderId="39" xfId="0" applyNumberFormat="1" applyFont="1" applyFill="1" applyBorder="1"/>
    <xf numFmtId="167" fontId="17" fillId="4" borderId="18" xfId="0" applyNumberFormat="1" applyFont="1" applyFill="1" applyBorder="1"/>
    <xf numFmtId="2" fontId="17" fillId="4" borderId="12" xfId="0" applyNumberFormat="1" applyFont="1" applyFill="1" applyBorder="1"/>
    <xf numFmtId="167" fontId="17" fillId="4" borderId="39" xfId="0" applyNumberFormat="1" applyFont="1" applyFill="1" applyBorder="1"/>
    <xf numFmtId="0" fontId="1" fillId="0" borderId="35" xfId="0" applyFont="1" applyBorder="1" applyAlignment="1">
      <alignment horizontal="center" vertical="justify"/>
    </xf>
    <xf numFmtId="0" fontId="1" fillId="0" borderId="12" xfId="0" applyFont="1" applyBorder="1" applyAlignment="1">
      <alignment vertical="justify"/>
    </xf>
    <xf numFmtId="0" fontId="1" fillId="0" borderId="12" xfId="0" applyFont="1" applyBorder="1" applyAlignment="1">
      <alignment horizontal="center" vertical="justify"/>
    </xf>
    <xf numFmtId="0" fontId="1" fillId="0" borderId="39" xfId="0" applyFont="1" applyBorder="1" applyAlignment="1">
      <alignment horizontal="center" vertical="justify"/>
    </xf>
    <xf numFmtId="167" fontId="1" fillId="13" borderId="48" xfId="0" applyNumberFormat="1" applyFont="1" applyFill="1" applyBorder="1" applyAlignment="1">
      <alignment vertical="justify"/>
    </xf>
    <xf numFmtId="0" fontId="13" fillId="13" borderId="2" xfId="0" applyFont="1" applyFill="1" applyBorder="1" applyAlignment="1">
      <alignment vertical="justify"/>
    </xf>
    <xf numFmtId="0" fontId="1" fillId="13" borderId="5" xfId="0" applyFont="1" applyFill="1" applyBorder="1" applyAlignment="1">
      <alignment horizontal="center" vertical="justify"/>
    </xf>
    <xf numFmtId="0" fontId="1" fillId="13" borderId="4" xfId="0" applyFont="1" applyFill="1" applyBorder="1" applyAlignment="1">
      <alignment horizontal="center" vertical="justify"/>
    </xf>
    <xf numFmtId="0" fontId="1" fillId="13" borderId="49" xfId="0" applyFont="1" applyFill="1" applyBorder="1" applyAlignment="1">
      <alignment horizontal="center" vertical="justify"/>
    </xf>
    <xf numFmtId="0" fontId="13" fillId="28" borderId="48" xfId="0" applyFont="1" applyFill="1" applyBorder="1" applyAlignment="1">
      <alignment horizontal="center" vertical="justify"/>
    </xf>
    <xf numFmtId="167" fontId="13" fillId="28" borderId="5" xfId="0" applyNumberFormat="1" applyFont="1" applyFill="1" applyBorder="1" applyAlignment="1">
      <alignment horizontal="left" vertical="justify"/>
    </xf>
    <xf numFmtId="167" fontId="13" fillId="28" borderId="4" xfId="0" applyNumberFormat="1" applyFont="1" applyFill="1" applyBorder="1" applyAlignment="1">
      <alignment horizontal="left" vertical="justify"/>
    </xf>
    <xf numFmtId="167" fontId="13" fillId="28" borderId="50" xfId="0" applyNumberFormat="1" applyFont="1" applyFill="1" applyBorder="1" applyAlignment="1">
      <alignment horizontal="left" vertical="justify"/>
    </xf>
    <xf numFmtId="0" fontId="13" fillId="28" borderId="12" xfId="0" applyFont="1" applyFill="1" applyBorder="1" applyAlignment="1">
      <alignment horizontal="center" vertical="justify"/>
    </xf>
    <xf numFmtId="0" fontId="13" fillId="28" borderId="39" xfId="0" applyFont="1" applyFill="1" applyBorder="1" applyAlignment="1">
      <alignment horizontal="center" vertical="justify"/>
    </xf>
    <xf numFmtId="0" fontId="13" fillId="5" borderId="51" xfId="0" applyFont="1" applyFill="1" applyBorder="1" applyAlignment="1">
      <alignment horizontal="center" vertical="justify"/>
    </xf>
    <xf numFmtId="167" fontId="13" fillId="5" borderId="16" xfId="0" applyNumberFormat="1" applyFont="1" applyFill="1" applyBorder="1" applyAlignment="1">
      <alignment horizontal="left" vertical="justify"/>
    </xf>
    <xf numFmtId="167" fontId="13" fillId="5" borderId="36" xfId="0" applyNumberFormat="1" applyFont="1" applyFill="1" applyBorder="1" applyAlignment="1">
      <alignment horizontal="left" vertical="justify"/>
    </xf>
    <xf numFmtId="167" fontId="13" fillId="5" borderId="18" xfId="0" applyNumberFormat="1" applyFont="1" applyFill="1" applyBorder="1" applyAlignment="1">
      <alignment horizontal="left" vertical="justify"/>
    </xf>
    <xf numFmtId="0" fontId="47" fillId="30" borderId="16" xfId="0" applyFont="1" applyFill="1" applyBorder="1" applyAlignment="1">
      <alignment horizontal="center" vertical="justify"/>
    </xf>
    <xf numFmtId="0" fontId="47" fillId="30" borderId="36" xfId="0" applyFont="1" applyFill="1" applyBorder="1" applyAlignment="1">
      <alignment horizontal="center" vertical="justify"/>
    </xf>
    <xf numFmtId="0" fontId="47" fillId="30" borderId="37" xfId="0" applyFont="1" applyFill="1" applyBorder="1" applyAlignment="1">
      <alignment horizontal="center" vertical="justify"/>
    </xf>
    <xf numFmtId="0" fontId="1" fillId="34" borderId="52" xfId="0" applyFont="1" applyFill="1" applyBorder="1" applyAlignment="1">
      <alignment vertical="justify"/>
    </xf>
    <xf numFmtId="0" fontId="1" fillId="34" borderId="53" xfId="0" applyFont="1" applyFill="1" applyBorder="1" applyAlignment="1">
      <alignment horizontal="center" vertical="justify"/>
    </xf>
    <xf numFmtId="0" fontId="1" fillId="34" borderId="54" xfId="0" applyFont="1" applyFill="1" applyBorder="1" applyAlignment="1">
      <alignment horizontal="center" vertical="justify"/>
    </xf>
    <xf numFmtId="0" fontId="1" fillId="34" borderId="55" xfId="0" applyFont="1" applyFill="1" applyBorder="1" applyAlignment="1">
      <alignment horizontal="center" vertical="justify"/>
    </xf>
    <xf numFmtId="0" fontId="1" fillId="34" borderId="56" xfId="0" applyFont="1" applyFill="1" applyBorder="1" applyAlignment="1">
      <alignment horizontal="center" vertical="justify"/>
    </xf>
    <xf numFmtId="0" fontId="1" fillId="34" borderId="57" xfId="0" applyFont="1" applyFill="1" applyBorder="1" applyAlignment="1">
      <alignment horizontal="center" vertical="justify"/>
    </xf>
    <xf numFmtId="0" fontId="13" fillId="32" borderId="3" xfId="0" applyFont="1" applyFill="1" applyBorder="1" applyAlignment="1">
      <alignment vertical="justify"/>
    </xf>
    <xf numFmtId="0" fontId="36" fillId="32" borderId="2" xfId="0" applyFont="1" applyFill="1" applyBorder="1" applyAlignment="1">
      <alignment vertical="justify"/>
    </xf>
    <xf numFmtId="2" fontId="28" fillId="32" borderId="2" xfId="0" applyNumberFormat="1" applyFont="1" applyFill="1" applyBorder="1" applyAlignment="1">
      <alignment vertical="justify"/>
    </xf>
    <xf numFmtId="172" fontId="13" fillId="32" borderId="2" xfId="0" applyNumberFormat="1" applyFont="1" applyFill="1" applyBorder="1" applyAlignment="1">
      <alignment vertical="justify"/>
    </xf>
    <xf numFmtId="167" fontId="1" fillId="32" borderId="2" xfId="0" applyNumberFormat="1" applyFont="1" applyFill="1" applyBorder="1" applyAlignment="1">
      <alignment vertical="justify"/>
    </xf>
    <xf numFmtId="167" fontId="13" fillId="32" borderId="2" xfId="0" applyNumberFormat="1" applyFont="1" applyFill="1" applyBorder="1" applyAlignment="1">
      <alignment vertical="justify"/>
    </xf>
    <xf numFmtId="172" fontId="13" fillId="32" borderId="5" xfId="0" applyNumberFormat="1" applyFont="1" applyFill="1" applyBorder="1" applyAlignment="1">
      <alignment vertical="justify"/>
    </xf>
    <xf numFmtId="172" fontId="17" fillId="32" borderId="12" xfId="0" applyNumberFormat="1" applyFont="1" applyFill="1" applyBorder="1"/>
    <xf numFmtId="0" fontId="9" fillId="0" borderId="0" xfId="0" applyFont="1"/>
    <xf numFmtId="0" fontId="39" fillId="0" borderId="12" xfId="0" applyFont="1" applyBorder="1"/>
    <xf numFmtId="14" fontId="44" fillId="0" borderId="12" xfId="0" applyNumberFormat="1" applyFont="1" applyBorder="1"/>
    <xf numFmtId="167" fontId="16" fillId="27" borderId="0" xfId="0" applyNumberFormat="1" applyFont="1" applyFill="1"/>
    <xf numFmtId="0" fontId="48" fillId="27" borderId="35" xfId="0" applyFont="1" applyFill="1" applyBorder="1"/>
    <xf numFmtId="0" fontId="48" fillId="27" borderId="12" xfId="0" applyFont="1" applyFill="1" applyBorder="1"/>
    <xf numFmtId="167" fontId="1" fillId="22" borderId="35" xfId="0" applyNumberFormat="1" applyFont="1" applyFill="1" applyBorder="1" applyAlignment="1">
      <alignment horizontal="center" vertical="justify"/>
    </xf>
    <xf numFmtId="0" fontId="13" fillId="22" borderId="12" xfId="0" applyFont="1" applyFill="1" applyBorder="1" applyAlignment="1">
      <alignment horizontal="center" vertical="justify"/>
    </xf>
    <xf numFmtId="0" fontId="1" fillId="22" borderId="12" xfId="0" applyFont="1" applyFill="1" applyBorder="1" applyAlignment="1">
      <alignment vertical="justify"/>
    </xf>
    <xf numFmtId="0" fontId="1" fillId="22" borderId="12" xfId="0" applyFont="1" applyFill="1" applyBorder="1" applyAlignment="1">
      <alignment horizontal="center" vertical="justify"/>
    </xf>
    <xf numFmtId="0" fontId="1" fillId="22" borderId="39" xfId="0" applyFont="1" applyFill="1" applyBorder="1" applyAlignment="1">
      <alignment horizontal="center" vertical="justify"/>
    </xf>
    <xf numFmtId="167" fontId="6" fillId="21" borderId="48" xfId="0" applyNumberFormat="1" applyFont="1" applyFill="1" applyBorder="1" applyAlignment="1">
      <alignment vertical="justify"/>
    </xf>
    <xf numFmtId="0" fontId="11" fillId="21" borderId="2" xfId="0" applyFont="1" applyFill="1" applyBorder="1" applyAlignment="1">
      <alignment vertical="justify"/>
    </xf>
    <xf numFmtId="0" fontId="6" fillId="21" borderId="5" xfId="0" applyFont="1" applyFill="1" applyBorder="1" applyAlignment="1">
      <alignment horizontal="center" vertical="justify"/>
    </xf>
    <xf numFmtId="0" fontId="6" fillId="21" borderId="4" xfId="0" applyFont="1" applyFill="1" applyBorder="1" applyAlignment="1">
      <alignment horizontal="center" vertical="justify"/>
    </xf>
    <xf numFmtId="0" fontId="6" fillId="21" borderId="49" xfId="0" applyFont="1" applyFill="1" applyBorder="1" applyAlignment="1">
      <alignment horizontal="center" vertical="justify"/>
    </xf>
    <xf numFmtId="167" fontId="13" fillId="29" borderId="58" xfId="0" applyNumberFormat="1" applyFont="1" applyFill="1" applyBorder="1" applyAlignment="1">
      <alignment horizontal="center" vertical="justify"/>
    </xf>
    <xf numFmtId="0" fontId="49" fillId="30" borderId="16" xfId="0" applyFont="1" applyFill="1" applyBorder="1" applyAlignment="1">
      <alignment horizontal="center" vertical="justify"/>
    </xf>
    <xf numFmtId="0" fontId="49" fillId="30" borderId="36" xfId="0" applyFont="1" applyFill="1" applyBorder="1" applyAlignment="1">
      <alignment horizontal="center" vertical="justify"/>
    </xf>
    <xf numFmtId="0" fontId="49" fillId="30" borderId="37" xfId="0" applyFont="1" applyFill="1" applyBorder="1" applyAlignment="1">
      <alignment horizontal="center" vertical="justify"/>
    </xf>
    <xf numFmtId="0" fontId="48" fillId="34" borderId="24" xfId="0" applyFont="1" applyFill="1" applyBorder="1" applyAlignment="1">
      <alignment horizontal="center" vertical="justify"/>
    </xf>
    <xf numFmtId="0" fontId="48" fillId="34" borderId="59" xfId="0" applyFont="1" applyFill="1" applyBorder="1" applyAlignment="1">
      <alignment horizontal="left" vertical="justify"/>
    </xf>
    <xf numFmtId="0" fontId="48" fillId="34" borderId="60" xfId="0" applyFont="1" applyFill="1" applyBorder="1" applyAlignment="1">
      <alignment horizontal="left" vertical="justify"/>
    </xf>
    <xf numFmtId="0" fontId="48" fillId="34" borderId="61" xfId="0" applyFont="1" applyFill="1" applyBorder="1" applyAlignment="1">
      <alignment horizontal="left" vertical="justify"/>
    </xf>
    <xf numFmtId="172" fontId="50" fillId="34" borderId="25" xfId="0" applyNumberFormat="1" applyFont="1" applyFill="1" applyBorder="1" applyAlignment="1">
      <alignment horizontal="left" vertical="justify"/>
    </xf>
    <xf numFmtId="172" fontId="49" fillId="34" borderId="26" xfId="0" applyNumberFormat="1" applyFont="1" applyFill="1" applyBorder="1" applyAlignment="1">
      <alignment horizontal="left" vertical="justify"/>
    </xf>
    <xf numFmtId="167" fontId="1" fillId="32" borderId="6" xfId="0" applyNumberFormat="1" applyFont="1" applyFill="1" applyBorder="1" applyAlignment="1">
      <alignment vertical="justify"/>
    </xf>
    <xf numFmtId="168" fontId="13" fillId="32" borderId="6" xfId="0" applyNumberFormat="1" applyFont="1" applyFill="1" applyBorder="1" applyAlignment="1">
      <alignment horizontal="left" vertical="justify"/>
    </xf>
    <xf numFmtId="14" fontId="13" fillId="32" borderId="2" xfId="0" applyNumberFormat="1" applyFont="1" applyFill="1" applyBorder="1" applyAlignment="1">
      <alignment vertical="justify"/>
    </xf>
    <xf numFmtId="167" fontId="51" fillId="0" borderId="0" xfId="0" applyNumberFormat="1" applyFont="1" applyAlignment="1">
      <alignment horizontal="center" wrapText="1"/>
    </xf>
    <xf numFmtId="172" fontId="39" fillId="0" borderId="12" xfId="0" applyNumberFormat="1" applyFont="1" applyBorder="1"/>
    <xf numFmtId="173" fontId="48" fillId="27" borderId="35" xfId="0" applyNumberFormat="1" applyFont="1" applyFill="1" applyBorder="1"/>
    <xf numFmtId="173" fontId="48" fillId="27" borderId="12" xfId="0" applyNumberFormat="1" applyFont="1" applyFill="1" applyBorder="1"/>
    <xf numFmtId="167" fontId="17" fillId="4" borderId="12" xfId="0" applyNumberFormat="1" applyFont="1" applyFill="1" applyBorder="1"/>
    <xf numFmtId="167" fontId="1" fillId="35" borderId="35" xfId="0" applyNumberFormat="1" applyFont="1" applyFill="1" applyBorder="1" applyAlignment="1">
      <alignment horizontal="center" vertical="justify"/>
    </xf>
    <xf numFmtId="0" fontId="13" fillId="35" borderId="12" xfId="0" applyFont="1" applyFill="1" applyBorder="1" applyAlignment="1">
      <alignment horizontal="center" vertical="justify"/>
    </xf>
    <xf numFmtId="0" fontId="1" fillId="35" borderId="12" xfId="0" applyFont="1" applyFill="1" applyBorder="1" applyAlignment="1">
      <alignment vertical="justify"/>
    </xf>
    <xf numFmtId="0" fontId="1" fillId="35" borderId="12" xfId="0" applyFont="1" applyFill="1" applyBorder="1" applyAlignment="1">
      <alignment horizontal="center" vertical="justify"/>
    </xf>
    <xf numFmtId="0" fontId="1" fillId="35" borderId="39" xfId="0" applyFont="1" applyFill="1" applyBorder="1" applyAlignment="1">
      <alignment horizontal="center" vertical="justify"/>
    </xf>
    <xf numFmtId="167" fontId="6" fillId="8" borderId="48" xfId="0" applyNumberFormat="1" applyFont="1" applyFill="1" applyBorder="1" applyAlignment="1">
      <alignment vertical="justify"/>
    </xf>
    <xf numFmtId="0" fontId="11" fillId="8" borderId="2" xfId="0" applyFont="1" applyFill="1" applyBorder="1" applyAlignment="1">
      <alignment vertical="justify"/>
    </xf>
    <xf numFmtId="0" fontId="6" fillId="8" borderId="5" xfId="0" applyFont="1" applyFill="1" applyBorder="1" applyAlignment="1">
      <alignment horizontal="center" vertical="justify"/>
    </xf>
    <xf numFmtId="0" fontId="6" fillId="8" borderId="4" xfId="0" applyFont="1" applyFill="1" applyBorder="1" applyAlignment="1">
      <alignment horizontal="center" vertical="justify"/>
    </xf>
    <xf numFmtId="0" fontId="6" fillId="8" borderId="49" xfId="0" applyFont="1" applyFill="1" applyBorder="1" applyAlignment="1">
      <alignment horizontal="center" vertical="justify"/>
    </xf>
    <xf numFmtId="0" fontId="2" fillId="0" borderId="0" xfId="0" applyFont="1" applyAlignment="1">
      <alignment horizontal="center" vertical="top" wrapText="1"/>
    </xf>
    <xf numFmtId="0" fontId="13" fillId="28" borderId="5" xfId="0" applyFont="1" applyFill="1" applyBorder="1" applyAlignment="1">
      <alignment horizontal="left" vertical="justify"/>
    </xf>
    <xf numFmtId="0" fontId="13" fillId="28" borderId="4" xfId="0" applyFont="1" applyFill="1" applyBorder="1" applyAlignment="1">
      <alignment horizontal="left" vertical="justify"/>
    </xf>
    <xf numFmtId="167" fontId="13" fillId="29" borderId="35" xfId="0" applyNumberFormat="1" applyFont="1" applyFill="1" applyBorder="1" applyAlignment="1">
      <alignment horizontal="center" vertical="justify"/>
    </xf>
    <xf numFmtId="0" fontId="13" fillId="5" borderId="16" xfId="0" applyFont="1" applyFill="1" applyBorder="1" applyAlignment="1">
      <alignment horizontal="left" vertical="justify"/>
    </xf>
    <xf numFmtId="0" fontId="13" fillId="5" borderId="36" xfId="0" applyFont="1" applyFill="1" applyBorder="1" applyAlignment="1">
      <alignment horizontal="left" vertical="justify"/>
    </xf>
    <xf numFmtId="0" fontId="13" fillId="5" borderId="18" xfId="0" applyFont="1" applyFill="1" applyBorder="1" applyAlignment="1">
      <alignment horizontal="left" vertical="justify"/>
    </xf>
    <xf numFmtId="167" fontId="13" fillId="32" borderId="6" xfId="0" applyNumberFormat="1" applyFont="1" applyFill="1" applyBorder="1" applyAlignment="1">
      <alignment horizontal="left" vertical="justify"/>
    </xf>
    <xf numFmtId="2" fontId="13" fillId="32" borderId="2" xfId="0" applyNumberFormat="1" applyFont="1" applyFill="1" applyBorder="1" applyAlignment="1">
      <alignment vertical="justify"/>
    </xf>
    <xf numFmtId="0" fontId="13" fillId="32" borderId="2" xfId="0" applyFont="1" applyFill="1" applyBorder="1" applyAlignment="1">
      <alignment vertical="justify"/>
    </xf>
    <xf numFmtId="172" fontId="13" fillId="33" borderId="5" xfId="0" applyNumberFormat="1" applyFont="1" applyFill="1" applyBorder="1" applyAlignment="1">
      <alignment vertical="justify"/>
    </xf>
    <xf numFmtId="172" fontId="17" fillId="33" borderId="12" xfId="0" applyNumberFormat="1" applyFont="1" applyFill="1" applyBorder="1"/>
    <xf numFmtId="167" fontId="5" fillId="0" borderId="0" xfId="0" applyNumberFormat="1" applyFont="1"/>
    <xf numFmtId="167" fontId="16" fillId="27" borderId="35" xfId="0" applyNumberFormat="1" applyFont="1" applyFill="1" applyBorder="1"/>
    <xf numFmtId="167" fontId="17" fillId="4" borderId="62" xfId="0" applyNumberFormat="1" applyFont="1" applyFill="1" applyBorder="1"/>
    <xf numFmtId="167" fontId="17" fillId="4" borderId="15" xfId="0" applyNumberFormat="1" applyFont="1" applyFill="1" applyBorder="1"/>
    <xf numFmtId="167" fontId="17" fillId="4" borderId="63" xfId="0" applyNumberFormat="1" applyFont="1" applyFill="1" applyBorder="1"/>
    <xf numFmtId="167" fontId="1" fillId="36" borderId="35" xfId="0" applyNumberFormat="1" applyFont="1" applyFill="1" applyBorder="1" applyAlignment="1">
      <alignment horizontal="center" vertical="justify"/>
    </xf>
    <xf numFmtId="167" fontId="13" fillId="36" borderId="12" xfId="0" applyNumberFormat="1" applyFont="1" applyFill="1" applyBorder="1" applyAlignment="1">
      <alignment horizontal="center" vertical="justify"/>
    </xf>
    <xf numFmtId="0" fontId="13" fillId="36" borderId="12" xfId="0" applyFont="1" applyFill="1" applyBorder="1" applyAlignment="1">
      <alignment vertical="justify"/>
    </xf>
    <xf numFmtId="0" fontId="1" fillId="36" borderId="12" xfId="0" applyFont="1" applyFill="1" applyBorder="1" applyAlignment="1">
      <alignment horizontal="center" vertical="justify"/>
    </xf>
    <xf numFmtId="0" fontId="1" fillId="36" borderId="39" xfId="0" applyFont="1" applyFill="1" applyBorder="1" applyAlignment="1">
      <alignment horizontal="center" vertical="justify"/>
    </xf>
    <xf numFmtId="167" fontId="6" fillId="9" borderId="48" xfId="0" applyNumberFormat="1" applyFont="1" applyFill="1" applyBorder="1" applyAlignment="1">
      <alignment vertical="justify"/>
    </xf>
    <xf numFmtId="0" fontId="11" fillId="9" borderId="2" xfId="0" applyFont="1" applyFill="1" applyBorder="1" applyAlignment="1">
      <alignment vertical="justify"/>
    </xf>
    <xf numFmtId="0" fontId="6" fillId="9" borderId="5" xfId="0" applyFont="1" applyFill="1" applyBorder="1" applyAlignment="1">
      <alignment horizontal="center" vertical="justify"/>
    </xf>
    <xf numFmtId="0" fontId="6" fillId="9" borderId="4" xfId="0" applyFont="1" applyFill="1" applyBorder="1" applyAlignment="1">
      <alignment horizontal="center" vertical="justify"/>
    </xf>
    <xf numFmtId="0" fontId="6" fillId="9" borderId="49" xfId="0" applyFont="1" applyFill="1" applyBorder="1" applyAlignment="1">
      <alignment horizontal="center" vertical="justify"/>
    </xf>
    <xf numFmtId="0" fontId="13" fillId="28" borderId="64" xfId="0" applyFont="1" applyFill="1" applyBorder="1" applyAlignment="1">
      <alignment horizontal="center" vertical="justify"/>
    </xf>
    <xf numFmtId="0" fontId="13" fillId="28" borderId="65" xfId="0" applyFont="1" applyFill="1" applyBorder="1" applyAlignment="1">
      <alignment horizontal="left" vertical="justify"/>
    </xf>
    <xf numFmtId="0" fontId="13" fillId="28" borderId="66" xfId="0" applyFont="1" applyFill="1" applyBorder="1" applyAlignment="1">
      <alignment horizontal="left" vertical="justify"/>
    </xf>
    <xf numFmtId="0" fontId="13" fillId="28" borderId="56" xfId="0" applyFont="1" applyFill="1" applyBorder="1" applyAlignment="1">
      <alignment horizontal="center" vertical="justify"/>
    </xf>
    <xf numFmtId="0" fontId="13" fillId="28" borderId="57" xfId="0" applyFont="1" applyFill="1" applyBorder="1" applyAlignment="1">
      <alignment horizontal="center" vertical="justify"/>
    </xf>
    <xf numFmtId="167" fontId="1" fillId="29" borderId="51" xfId="0" applyNumberFormat="1" applyFont="1" applyFill="1" applyBorder="1" applyAlignment="1">
      <alignment vertical="justify"/>
    </xf>
    <xf numFmtId="167" fontId="31" fillId="29" borderId="16" xfId="0" applyNumberFormat="1" applyFont="1" applyFill="1" applyBorder="1" applyAlignment="1">
      <alignment horizontal="left" vertical="justify"/>
    </xf>
    <xf numFmtId="167" fontId="31" fillId="29" borderId="36" xfId="0" applyNumberFormat="1" applyFont="1" applyFill="1" applyBorder="1" applyAlignment="1">
      <alignment horizontal="left" vertical="justify"/>
    </xf>
    <xf numFmtId="167" fontId="31" fillId="29" borderId="18" xfId="0" applyNumberFormat="1" applyFont="1" applyFill="1" applyBorder="1" applyAlignment="1">
      <alignment horizontal="left" vertical="justify"/>
    </xf>
    <xf numFmtId="0" fontId="48" fillId="34" borderId="28" xfId="0" applyFont="1" applyFill="1" applyBorder="1" applyAlignment="1">
      <alignment horizontal="center" vertical="justify"/>
    </xf>
    <xf numFmtId="0" fontId="48" fillId="34" borderId="20" xfId="0" applyFont="1" applyFill="1" applyBorder="1" applyAlignment="1">
      <alignment horizontal="left" vertical="justify"/>
    </xf>
    <xf numFmtId="0" fontId="48" fillId="34" borderId="29" xfId="0" applyFont="1" applyFill="1" applyBorder="1" applyAlignment="1">
      <alignment horizontal="left" vertical="justify"/>
    </xf>
    <xf numFmtId="0" fontId="48" fillId="34" borderId="31" xfId="0" applyFont="1" applyFill="1" applyBorder="1" applyAlignment="1">
      <alignment horizontal="left" vertical="justify"/>
    </xf>
    <xf numFmtId="172" fontId="49" fillId="31" borderId="19" xfId="0" applyNumberFormat="1" applyFont="1" applyFill="1" applyBorder="1" applyAlignment="1">
      <alignment horizontal="left" vertical="justify"/>
    </xf>
    <xf numFmtId="172" fontId="49" fillId="31" borderId="67" xfId="0" applyNumberFormat="1" applyFont="1" applyFill="1" applyBorder="1" applyAlignment="1">
      <alignment horizontal="left" vertical="justify"/>
    </xf>
    <xf numFmtId="167" fontId="16" fillId="0" borderId="0" xfId="0" applyNumberFormat="1" applyFont="1"/>
    <xf numFmtId="0" fontId="9" fillId="13" borderId="38" xfId="0" applyFont="1" applyFill="1" applyBorder="1"/>
    <xf numFmtId="0" fontId="5" fillId="13" borderId="33" xfId="0" applyFont="1" applyFill="1" applyBorder="1"/>
    <xf numFmtId="0" fontId="3" fillId="13" borderId="33" xfId="0" applyFont="1" applyFill="1" applyBorder="1"/>
    <xf numFmtId="164" fontId="3" fillId="13" borderId="34" xfId="0" applyNumberFormat="1" applyFont="1" applyFill="1" applyBorder="1"/>
    <xf numFmtId="167" fontId="1" fillId="5" borderId="35" xfId="0" applyNumberFormat="1" applyFont="1" applyFill="1" applyBorder="1" applyAlignment="1">
      <alignment horizontal="center" vertical="justify"/>
    </xf>
    <xf numFmtId="0" fontId="13" fillId="5" borderId="12" xfId="0" applyFont="1" applyFill="1" applyBorder="1" applyAlignment="1">
      <alignment horizontal="center" vertical="justify"/>
    </xf>
    <xf numFmtId="0" fontId="13" fillId="5" borderId="12" xfId="0" applyFont="1" applyFill="1" applyBorder="1" applyAlignment="1">
      <alignment vertical="justify"/>
    </xf>
    <xf numFmtId="0" fontId="1" fillId="5" borderId="12" xfId="0" applyFont="1" applyFill="1" applyBorder="1" applyAlignment="1">
      <alignment horizontal="center" vertical="justify"/>
    </xf>
    <xf numFmtId="0" fontId="1" fillId="5" borderId="39" xfId="0" applyFont="1" applyFill="1" applyBorder="1" applyAlignment="1">
      <alignment horizontal="center" vertical="justify"/>
    </xf>
    <xf numFmtId="167" fontId="6" fillId="2" borderId="48" xfId="0" applyNumberFormat="1" applyFont="1" applyFill="1" applyBorder="1" applyAlignment="1">
      <alignment vertical="justify"/>
    </xf>
    <xf numFmtId="0" fontId="11" fillId="2" borderId="2" xfId="0" applyFont="1" applyFill="1" applyBorder="1" applyAlignment="1">
      <alignment vertical="justify"/>
    </xf>
    <xf numFmtId="0" fontId="6" fillId="2" borderId="5" xfId="0" applyFont="1" applyFill="1" applyBorder="1" applyAlignment="1">
      <alignment horizontal="center" vertical="justify"/>
    </xf>
    <xf numFmtId="0" fontId="6" fillId="2" borderId="4" xfId="0" applyFont="1" applyFill="1" applyBorder="1" applyAlignment="1">
      <alignment horizontal="center" vertical="justify"/>
    </xf>
    <xf numFmtId="0" fontId="6" fillId="2" borderId="49" xfId="0" applyFont="1" applyFill="1" applyBorder="1" applyAlignment="1">
      <alignment horizontal="center" vertical="justify"/>
    </xf>
    <xf numFmtId="0" fontId="1" fillId="0" borderId="0" xfId="0" applyFont="1" applyAlignment="1">
      <alignment vertical="justify"/>
    </xf>
    <xf numFmtId="0" fontId="13" fillId="0" borderId="0" xfId="0" applyFont="1" applyAlignment="1">
      <alignment vertical="justify"/>
    </xf>
    <xf numFmtId="0" fontId="36" fillId="0" borderId="0" xfId="0" applyFont="1" applyAlignment="1">
      <alignment vertical="justify"/>
    </xf>
    <xf numFmtId="167" fontId="1" fillId="29" borderId="68" xfId="0" applyNumberFormat="1" applyFont="1" applyFill="1" applyBorder="1" applyAlignment="1">
      <alignment vertical="justify"/>
    </xf>
    <xf numFmtId="167" fontId="31" fillId="29" borderId="53" xfId="0" applyNumberFormat="1" applyFont="1" applyFill="1" applyBorder="1" applyAlignment="1">
      <alignment horizontal="left" vertical="justify"/>
    </xf>
    <xf numFmtId="167" fontId="31" fillId="29" borderId="54" xfId="0" applyNumberFormat="1" applyFont="1" applyFill="1" applyBorder="1" applyAlignment="1">
      <alignment horizontal="left" vertical="justify"/>
    </xf>
    <xf numFmtId="167" fontId="31" fillId="29" borderId="55" xfId="0" applyNumberFormat="1" applyFont="1" applyFill="1" applyBorder="1" applyAlignment="1">
      <alignment horizontal="left" vertical="justify"/>
    </xf>
    <xf numFmtId="0" fontId="49" fillId="37" borderId="53" xfId="0" applyFont="1" applyFill="1" applyBorder="1" applyAlignment="1">
      <alignment horizontal="center" vertical="justify"/>
    </xf>
    <xf numFmtId="0" fontId="49" fillId="37" borderId="54" xfId="0" applyFont="1" applyFill="1" applyBorder="1" applyAlignment="1">
      <alignment horizontal="center" vertical="justify"/>
    </xf>
    <xf numFmtId="0" fontId="49" fillId="37" borderId="69" xfId="0" applyFont="1" applyFill="1" applyBorder="1" applyAlignment="1">
      <alignment horizontal="center" vertical="justify"/>
    </xf>
    <xf numFmtId="0" fontId="11" fillId="0" borderId="29" xfId="0" applyFont="1" applyBorder="1" applyAlignment="1">
      <alignment vertical="justify"/>
    </xf>
    <xf numFmtId="0" fontId="48" fillId="34" borderId="52" xfId="0" applyFont="1" applyFill="1" applyBorder="1" applyAlignment="1">
      <alignment vertical="justify"/>
    </xf>
    <xf numFmtId="0" fontId="48" fillId="34" borderId="53" xfId="0" applyFont="1" applyFill="1" applyBorder="1" applyAlignment="1">
      <alignment horizontal="left" vertical="justify"/>
    </xf>
    <xf numFmtId="0" fontId="48" fillId="34" borderId="54" xfId="0" applyFont="1" applyFill="1" applyBorder="1" applyAlignment="1">
      <alignment horizontal="left" vertical="justify"/>
    </xf>
    <xf numFmtId="0" fontId="48" fillId="34" borderId="55" xfId="0" applyFont="1" applyFill="1" applyBorder="1" applyAlignment="1">
      <alignment horizontal="left" vertical="justify"/>
    </xf>
    <xf numFmtId="172" fontId="25" fillId="31" borderId="56" xfId="0" applyNumberFormat="1" applyFont="1" applyFill="1" applyBorder="1" applyAlignment="1">
      <alignment horizontal="left" vertical="justify"/>
    </xf>
    <xf numFmtId="172" fontId="49" fillId="31" borderId="57" xfId="0" applyNumberFormat="1" applyFont="1" applyFill="1" applyBorder="1" applyAlignment="1">
      <alignment horizontal="left" vertical="justify"/>
    </xf>
    <xf numFmtId="167" fontId="1" fillId="32" borderId="3" xfId="0" applyNumberFormat="1" applyFont="1" applyFill="1" applyBorder="1" applyAlignment="1">
      <alignment vertical="justify"/>
    </xf>
    <xf numFmtId="167" fontId="1" fillId="33" borderId="2" xfId="0" applyNumberFormat="1" applyFont="1" applyFill="1" applyBorder="1" applyAlignment="1">
      <alignment vertical="justify"/>
    </xf>
    <xf numFmtId="167" fontId="13" fillId="33" borderId="2" xfId="0" applyNumberFormat="1" applyFont="1" applyFill="1" applyBorder="1" applyAlignment="1">
      <alignment vertical="justify"/>
    </xf>
    <xf numFmtId="14" fontId="13" fillId="33" borderId="5" xfId="0" applyNumberFormat="1" applyFont="1" applyFill="1" applyBorder="1" applyAlignment="1">
      <alignment vertical="justify"/>
    </xf>
    <xf numFmtId="14" fontId="39" fillId="33" borderId="12" xfId="0" applyNumberFormat="1" applyFont="1" applyFill="1" applyBorder="1"/>
    <xf numFmtId="167" fontId="39" fillId="13" borderId="18" xfId="0" applyNumberFormat="1" applyFont="1" applyFill="1" applyBorder="1" applyAlignment="1">
      <alignment wrapText="1"/>
    </xf>
    <xf numFmtId="167" fontId="39" fillId="13" borderId="12" xfId="0" applyNumberFormat="1" applyFont="1" applyFill="1" applyBorder="1" applyAlignment="1">
      <alignment wrapText="1"/>
    </xf>
    <xf numFmtId="167" fontId="39" fillId="13" borderId="39" xfId="0" applyNumberFormat="1" applyFont="1" applyFill="1" applyBorder="1" applyAlignment="1">
      <alignment wrapText="1"/>
    </xf>
    <xf numFmtId="0" fontId="13" fillId="0" borderId="12" xfId="0" applyFont="1" applyBorder="1" applyAlignment="1">
      <alignment horizontal="center" vertical="justify"/>
    </xf>
    <xf numFmtId="167" fontId="52" fillId="11" borderId="48" xfId="0" applyNumberFormat="1" applyFont="1" applyFill="1" applyBorder="1" applyAlignment="1">
      <alignment vertical="justify"/>
    </xf>
    <xf numFmtId="0" fontId="53" fillId="11" borderId="2" xfId="0" applyFont="1" applyFill="1" applyBorder="1" applyAlignment="1">
      <alignment vertical="justify"/>
    </xf>
    <xf numFmtId="0" fontId="52" fillId="11" borderId="5" xfId="0" applyFont="1" applyFill="1" applyBorder="1" applyAlignment="1">
      <alignment horizontal="center" vertical="justify"/>
    </xf>
    <xf numFmtId="0" fontId="52" fillId="11" borderId="4" xfId="0" applyFont="1" applyFill="1" applyBorder="1" applyAlignment="1">
      <alignment horizontal="center" vertical="justify"/>
    </xf>
    <xf numFmtId="0" fontId="52" fillId="11" borderId="49" xfId="0" applyFont="1" applyFill="1" applyBorder="1" applyAlignment="1">
      <alignment horizontal="center" vertical="justify"/>
    </xf>
    <xf numFmtId="167" fontId="1" fillId="0" borderId="0" xfId="0" applyNumberFormat="1" applyFont="1" applyAlignment="1">
      <alignment vertical="justify"/>
    </xf>
    <xf numFmtId="167" fontId="31" fillId="0" borderId="0" xfId="0" applyNumberFormat="1" applyFont="1" applyAlignment="1">
      <alignment vertical="justify"/>
    </xf>
    <xf numFmtId="0" fontId="44" fillId="0" borderId="0" xfId="0" applyFont="1" applyAlignment="1">
      <alignment vertical="justify"/>
    </xf>
    <xf numFmtId="0" fontId="17" fillId="0" borderId="0" xfId="0" applyFont="1"/>
    <xf numFmtId="167" fontId="39" fillId="13" borderId="18" xfId="0" applyNumberFormat="1" applyFont="1" applyFill="1" applyBorder="1"/>
    <xf numFmtId="167" fontId="39" fillId="13" borderId="12" xfId="0" applyNumberFormat="1" applyFont="1" applyFill="1" applyBorder="1"/>
    <xf numFmtId="167" fontId="39" fillId="13" borderId="39" xfId="0" applyNumberFormat="1" applyFont="1" applyFill="1" applyBorder="1"/>
    <xf numFmtId="172" fontId="13" fillId="0" borderId="7" xfId="0" applyNumberFormat="1" applyFont="1" applyBorder="1" applyAlignment="1">
      <alignment horizontal="left"/>
    </xf>
    <xf numFmtId="2" fontId="12" fillId="38" borderId="7" xfId="0" applyNumberFormat="1" applyFont="1" applyFill="1" applyBorder="1" applyAlignment="1">
      <alignment horizontal="left"/>
    </xf>
    <xf numFmtId="0" fontId="40" fillId="0" borderId="0" xfId="0" applyFont="1" applyAlignment="1">
      <alignment vertical="justify"/>
    </xf>
    <xf numFmtId="167" fontId="1" fillId="3" borderId="52" xfId="0" applyNumberFormat="1" applyFont="1" applyFill="1" applyBorder="1" applyAlignment="1">
      <alignment horizontal="center" vertical="justify"/>
    </xf>
    <xf numFmtId="0" fontId="1" fillId="3" borderId="56" xfId="0" applyFont="1" applyFill="1" applyBorder="1" applyAlignment="1">
      <alignment horizontal="center" vertical="justify"/>
    </xf>
    <xf numFmtId="0" fontId="1" fillId="3" borderId="56" xfId="0" applyFont="1" applyFill="1" applyBorder="1" applyAlignment="1">
      <alignment vertical="justify"/>
    </xf>
    <xf numFmtId="0" fontId="13" fillId="3" borderId="57" xfId="0" applyFont="1" applyFill="1" applyBorder="1" applyAlignment="1">
      <alignment vertical="justify"/>
    </xf>
    <xf numFmtId="167" fontId="6" fillId="17" borderId="48" xfId="0" applyNumberFormat="1" applyFont="1" applyFill="1" applyBorder="1" applyAlignment="1">
      <alignment vertical="justify"/>
    </xf>
    <xf numFmtId="0" fontId="11" fillId="17" borderId="2" xfId="0" applyFont="1" applyFill="1" applyBorder="1" applyAlignment="1">
      <alignment vertical="justify"/>
    </xf>
    <xf numFmtId="0" fontId="6" fillId="17" borderId="5" xfId="0" applyFont="1" applyFill="1" applyBorder="1" applyAlignment="1">
      <alignment horizontal="center" vertical="justify"/>
    </xf>
    <xf numFmtId="0" fontId="6" fillId="17" borderId="4" xfId="0" applyFont="1" applyFill="1" applyBorder="1" applyAlignment="1">
      <alignment horizontal="center" vertical="justify"/>
    </xf>
    <xf numFmtId="0" fontId="6" fillId="17" borderId="49" xfId="0" applyFont="1" applyFill="1" applyBorder="1" applyAlignment="1">
      <alignment horizontal="center" vertical="justify"/>
    </xf>
    <xf numFmtId="0" fontId="13" fillId="13" borderId="70" xfId="0" applyFont="1" applyFill="1" applyBorder="1" applyAlignment="1">
      <alignment horizontal="center" vertical="justify"/>
    </xf>
    <xf numFmtId="0" fontId="13" fillId="13" borderId="60" xfId="0" applyFont="1" applyFill="1" applyBorder="1" applyAlignment="1">
      <alignment horizontal="center" vertical="justify"/>
    </xf>
    <xf numFmtId="0" fontId="41" fillId="13" borderId="71" xfId="0" applyFont="1" applyFill="1" applyBorder="1" applyAlignment="1">
      <alignment horizontal="center" vertical="justify"/>
    </xf>
    <xf numFmtId="0" fontId="13" fillId="6" borderId="70" xfId="0" applyFont="1" applyFill="1" applyBorder="1" applyAlignment="1">
      <alignment horizontal="center" vertical="justify"/>
    </xf>
    <xf numFmtId="0" fontId="13" fillId="6" borderId="60" xfId="0" applyFont="1" applyFill="1" applyBorder="1" applyAlignment="1">
      <alignment horizontal="center" vertical="justify"/>
    </xf>
    <xf numFmtId="0" fontId="13" fillId="6" borderId="71" xfId="0" applyFont="1" applyFill="1" applyBorder="1" applyAlignment="1">
      <alignment horizontal="center" vertical="justify"/>
    </xf>
    <xf numFmtId="167" fontId="16" fillId="27" borderId="72" xfId="0" applyNumberFormat="1" applyFont="1" applyFill="1" applyBorder="1"/>
    <xf numFmtId="4" fontId="17" fillId="27" borderId="52" xfId="0" applyNumberFormat="1" applyFont="1" applyFill="1" applyBorder="1"/>
    <xf numFmtId="4" fontId="17" fillId="27" borderId="56" xfId="0" applyNumberFormat="1" applyFont="1" applyFill="1" applyBorder="1"/>
    <xf numFmtId="167" fontId="16" fillId="27" borderId="57" xfId="0" applyNumberFormat="1" applyFont="1" applyFill="1" applyBorder="1"/>
    <xf numFmtId="172" fontId="39" fillId="13" borderId="12" xfId="0" applyNumberFormat="1" applyFont="1" applyFill="1" applyBorder="1"/>
    <xf numFmtId="0" fontId="1" fillId="3" borderId="64" xfId="0" applyFont="1" applyFill="1" applyBorder="1" applyAlignment="1">
      <alignment vertical="justify"/>
    </xf>
    <xf numFmtId="0" fontId="1" fillId="3" borderId="73" xfId="0" applyFont="1" applyFill="1" applyBorder="1" applyAlignment="1">
      <alignment vertical="justify"/>
    </xf>
    <xf numFmtId="0" fontId="1" fillId="3" borderId="74" xfId="0" applyFont="1" applyFill="1" applyBorder="1" applyAlignment="1">
      <alignment vertical="justify"/>
    </xf>
    <xf numFmtId="0" fontId="13" fillId="13" borderId="25" xfId="0" applyFont="1" applyFill="1" applyBorder="1" applyAlignment="1">
      <alignment horizontal="center" vertical="justify"/>
    </xf>
    <xf numFmtId="0" fontId="41" fillId="13" borderId="26" xfId="0" applyFont="1" applyFill="1" applyBorder="1" applyAlignment="1">
      <alignment horizontal="center" vertical="justify"/>
    </xf>
    <xf numFmtId="0" fontId="13" fillId="6" borderId="75" xfId="0" applyFont="1" applyFill="1" applyBorder="1" applyAlignment="1">
      <alignment horizontal="center" vertical="justify"/>
    </xf>
    <xf numFmtId="167" fontId="11" fillId="6" borderId="60" xfId="0" applyNumberFormat="1" applyFont="1" applyFill="1" applyBorder="1" applyAlignment="1">
      <alignment horizontal="left" vertical="justify"/>
    </xf>
    <xf numFmtId="167" fontId="11" fillId="6" borderId="71" xfId="0" applyNumberFormat="1" applyFont="1" applyFill="1" applyBorder="1" applyAlignment="1">
      <alignment horizontal="left" vertical="justify"/>
    </xf>
    <xf numFmtId="14" fontId="28" fillId="6" borderId="32" xfId="0" applyNumberFormat="1" applyFont="1" applyFill="1" applyBorder="1" applyAlignment="1">
      <alignment horizontal="center" vertical="justify"/>
    </xf>
    <xf numFmtId="14" fontId="28" fillId="6" borderId="34" xfId="0" applyNumberFormat="1" applyFont="1" applyFill="1" applyBorder="1" applyAlignment="1">
      <alignment horizontal="center" vertical="justify"/>
    </xf>
    <xf numFmtId="0" fontId="3" fillId="0" borderId="12" xfId="0" applyFont="1" applyBorder="1"/>
    <xf numFmtId="167" fontId="16" fillId="0" borderId="0" xfId="0" applyNumberFormat="1" applyFont="1" applyAlignment="1">
      <alignment horizontal="center" vertical="justify"/>
    </xf>
    <xf numFmtId="167" fontId="39" fillId="13" borderId="35" xfId="0" applyNumberFormat="1" applyFont="1" applyFill="1" applyBorder="1"/>
    <xf numFmtId="167" fontId="13" fillId="2" borderId="0" xfId="0" applyNumberFormat="1" applyFont="1" applyFill="1" applyAlignment="1">
      <alignment vertical="justify"/>
    </xf>
    <xf numFmtId="167" fontId="11" fillId="13" borderId="76" xfId="0" applyNumberFormat="1" applyFont="1" applyFill="1" applyBorder="1" applyAlignment="1">
      <alignment horizontal="center" vertical="justify"/>
    </xf>
    <xf numFmtId="167" fontId="11" fillId="13" borderId="77" xfId="0" applyNumberFormat="1" applyFont="1" applyFill="1" applyBorder="1" applyAlignment="1">
      <alignment horizontal="center" vertical="justify"/>
    </xf>
    <xf numFmtId="167" fontId="11" fillId="13" borderId="60" xfId="0" applyNumberFormat="1" applyFont="1" applyFill="1" applyBorder="1" applyAlignment="1">
      <alignment horizontal="center" vertical="justify"/>
    </xf>
    <xf numFmtId="167" fontId="11" fillId="13" borderId="78" xfId="0" applyNumberFormat="1" applyFont="1" applyFill="1" applyBorder="1" applyAlignment="1">
      <alignment horizontal="center" vertical="justify"/>
    </xf>
    <xf numFmtId="172" fontId="28" fillId="13" borderId="79" xfId="0" applyNumberFormat="1" applyFont="1" applyFill="1" applyBorder="1" applyAlignment="1">
      <alignment horizontal="left" vertical="justify"/>
    </xf>
    <xf numFmtId="172" fontId="28" fillId="13" borderId="80" xfId="0" applyNumberFormat="1" applyFont="1" applyFill="1" applyBorder="1" applyAlignment="1">
      <alignment horizontal="left" vertical="justify"/>
    </xf>
    <xf numFmtId="167" fontId="11" fillId="6" borderId="81" xfId="0" applyNumberFormat="1" applyFont="1" applyFill="1" applyBorder="1" applyAlignment="1">
      <alignment horizontal="center" vertical="justify"/>
    </xf>
    <xf numFmtId="167" fontId="11" fillId="6" borderId="82" xfId="0" applyNumberFormat="1" applyFont="1" applyFill="1" applyBorder="1" applyAlignment="1">
      <alignment horizontal="left" vertical="justify"/>
    </xf>
    <xf numFmtId="167" fontId="11" fillId="6" borderId="72" xfId="0" applyNumberFormat="1" applyFont="1" applyFill="1" applyBorder="1" applyAlignment="1">
      <alignment horizontal="left" vertical="justify"/>
    </xf>
    <xf numFmtId="167" fontId="11" fillId="6" borderId="83" xfId="0" applyNumberFormat="1" applyFont="1" applyFill="1" applyBorder="1" applyAlignment="1">
      <alignment horizontal="left" vertical="justify"/>
    </xf>
    <xf numFmtId="0" fontId="17" fillId="12" borderId="84" xfId="0" applyFont="1" applyFill="1" applyBorder="1" applyAlignment="1">
      <alignment vertical="justify"/>
    </xf>
    <xf numFmtId="167" fontId="16" fillId="12" borderId="85" xfId="0" applyNumberFormat="1" applyFont="1" applyFill="1" applyBorder="1" applyAlignment="1">
      <alignment vertical="justify" wrapText="1"/>
    </xf>
    <xf numFmtId="167" fontId="16" fillId="12" borderId="84" xfId="0" applyNumberFormat="1" applyFont="1" applyFill="1" applyBorder="1" applyAlignment="1">
      <alignment vertical="justify" wrapText="1"/>
    </xf>
    <xf numFmtId="167" fontId="16" fillId="12" borderId="86" xfId="0" applyNumberFormat="1" applyFont="1" applyFill="1" applyBorder="1" applyAlignment="1">
      <alignment vertical="justify" wrapText="1"/>
    </xf>
    <xf numFmtId="4" fontId="41" fillId="12" borderId="12" xfId="0" applyNumberFormat="1" applyFont="1" applyFill="1" applyBorder="1" applyAlignment="1">
      <alignment vertical="top"/>
    </xf>
    <xf numFmtId="4" fontId="41" fillId="12" borderId="16" xfId="0" applyNumberFormat="1" applyFont="1" applyFill="1" applyBorder="1" applyAlignment="1">
      <alignment vertical="top"/>
    </xf>
    <xf numFmtId="167" fontId="54" fillId="13" borderId="35" xfId="0" applyNumberFormat="1" applyFont="1" applyFill="1" applyBorder="1"/>
    <xf numFmtId="167" fontId="54" fillId="13" borderId="12" xfId="0" applyNumberFormat="1" applyFont="1" applyFill="1" applyBorder="1"/>
    <xf numFmtId="167" fontId="54" fillId="13" borderId="39" xfId="0" applyNumberFormat="1" applyFont="1" applyFill="1" applyBorder="1"/>
    <xf numFmtId="167" fontId="13" fillId="13" borderId="42" xfId="0" applyNumberFormat="1" applyFont="1" applyFill="1" applyBorder="1" applyAlignment="1">
      <alignment horizontal="center" vertical="justify"/>
    </xf>
    <xf numFmtId="0" fontId="11" fillId="13" borderId="46" xfId="0" applyFont="1" applyFill="1" applyBorder="1" applyAlignment="1">
      <alignment horizontal="center" vertical="justify"/>
    </xf>
    <xf numFmtId="0" fontId="11" fillId="13" borderId="45" xfId="0" applyFont="1" applyFill="1" applyBorder="1" applyAlignment="1">
      <alignment horizontal="center" vertical="justify"/>
    </xf>
    <xf numFmtId="0" fontId="11" fillId="13" borderId="87" xfId="0" applyFont="1" applyFill="1" applyBorder="1" applyAlignment="1">
      <alignment horizontal="center" vertical="justify"/>
    </xf>
    <xf numFmtId="0" fontId="11" fillId="6" borderId="24" xfId="0" applyFont="1" applyFill="1" applyBorder="1" applyAlignment="1">
      <alignment horizontal="center" vertical="justify"/>
    </xf>
    <xf numFmtId="0" fontId="13" fillId="6" borderId="59" xfId="0" applyFont="1" applyFill="1" applyBorder="1" applyAlignment="1">
      <alignment horizontal="left" vertical="center" wrapText="1"/>
    </xf>
    <xf numFmtId="0" fontId="13" fillId="6" borderId="60" xfId="0" applyFont="1" applyFill="1" applyBorder="1" applyAlignment="1">
      <alignment horizontal="left" vertical="center" wrapText="1"/>
    </xf>
    <xf numFmtId="0" fontId="13" fillId="6" borderId="61" xfId="0" applyFont="1" applyFill="1" applyBorder="1" applyAlignment="1">
      <alignment horizontal="left" vertical="center" wrapText="1"/>
    </xf>
    <xf numFmtId="14" fontId="28" fillId="6" borderId="24" xfId="0" applyNumberFormat="1" applyFont="1" applyFill="1" applyBorder="1" applyAlignment="1">
      <alignment horizontal="center" vertical="justify"/>
    </xf>
    <xf numFmtId="14" fontId="28" fillId="6" borderId="26" xfId="0" applyNumberFormat="1" applyFont="1" applyFill="1" applyBorder="1" applyAlignment="1">
      <alignment horizontal="center" vertical="justify"/>
    </xf>
    <xf numFmtId="4" fontId="17" fillId="0" borderId="0" xfId="0" applyNumberFormat="1" applyFont="1"/>
    <xf numFmtId="167" fontId="16" fillId="0" borderId="0" xfId="0" applyNumberFormat="1" applyFont="1" applyAlignment="1">
      <alignment wrapText="1"/>
    </xf>
    <xf numFmtId="0" fontId="17" fillId="12" borderId="88" xfId="0" applyFont="1" applyFill="1" applyBorder="1" applyAlignment="1">
      <alignment vertical="justify"/>
    </xf>
    <xf numFmtId="167" fontId="16" fillId="12" borderId="0" xfId="0" applyNumberFormat="1" applyFont="1" applyFill="1" applyAlignment="1">
      <alignment vertical="justify"/>
    </xf>
    <xf numFmtId="167" fontId="16" fillId="12" borderId="89" xfId="0" applyNumberFormat="1" applyFont="1" applyFill="1" applyBorder="1" applyAlignment="1">
      <alignment vertical="justify"/>
    </xf>
    <xf numFmtId="1" fontId="18" fillId="12" borderId="12" xfId="0" applyNumberFormat="1" applyFont="1" applyFill="1" applyBorder="1" applyAlignment="1">
      <alignment vertical="top"/>
    </xf>
    <xf numFmtId="1" fontId="18" fillId="12" borderId="16" xfId="0" applyNumberFormat="1" applyFont="1" applyFill="1" applyBorder="1" applyAlignment="1">
      <alignment vertical="top"/>
    </xf>
    <xf numFmtId="167" fontId="13" fillId="13" borderId="48" xfId="0" applyNumberFormat="1" applyFont="1" applyFill="1" applyBorder="1" applyAlignment="1">
      <alignment horizontal="center" vertical="justify"/>
    </xf>
    <xf numFmtId="167" fontId="13" fillId="13" borderId="90" xfId="0" applyNumberFormat="1" applyFont="1" applyFill="1" applyBorder="1" applyAlignment="1">
      <alignment horizontal="center" vertical="justify"/>
    </xf>
    <xf numFmtId="167" fontId="13" fillId="13" borderId="91" xfId="0" applyNumberFormat="1" applyFont="1" applyFill="1" applyBorder="1" applyAlignment="1">
      <alignment horizontal="center" vertical="justify"/>
    </xf>
    <xf numFmtId="167" fontId="13" fillId="13" borderId="92" xfId="0" applyNumberFormat="1" applyFont="1" applyFill="1" applyBorder="1" applyAlignment="1">
      <alignment horizontal="center" vertical="justify"/>
    </xf>
    <xf numFmtId="0" fontId="11" fillId="6" borderId="59" xfId="0" applyFont="1" applyFill="1" applyBorder="1" applyAlignment="1">
      <alignment horizontal="left" vertical="justify"/>
    </xf>
    <xf numFmtId="0" fontId="11" fillId="6" borderId="60" xfId="0" applyFont="1" applyFill="1" applyBorder="1" applyAlignment="1">
      <alignment horizontal="left" vertical="justify"/>
    </xf>
    <xf numFmtId="0" fontId="11" fillId="6" borderId="71" xfId="0" applyFont="1" applyFill="1" applyBorder="1" applyAlignment="1">
      <alignment horizontal="left" vertical="justify"/>
    </xf>
    <xf numFmtId="14" fontId="28" fillId="6" borderId="28" xfId="0" applyNumberFormat="1" applyFont="1" applyFill="1" applyBorder="1" applyAlignment="1">
      <alignment horizontal="center" vertical="justify"/>
    </xf>
    <xf numFmtId="14" fontId="28" fillId="6" borderId="67" xfId="0" applyNumberFormat="1" applyFont="1" applyFill="1" applyBorder="1" applyAlignment="1">
      <alignment horizontal="center" vertical="justify"/>
    </xf>
    <xf numFmtId="0" fontId="16" fillId="12" borderId="88" xfId="0" applyFont="1" applyFill="1" applyBorder="1"/>
    <xf numFmtId="167" fontId="16" fillId="12" borderId="0" xfId="0" applyNumberFormat="1" applyFont="1" applyFill="1"/>
    <xf numFmtId="167" fontId="16" fillId="12" borderId="89" xfId="0" applyNumberFormat="1" applyFont="1" applyFill="1" applyBorder="1"/>
    <xf numFmtId="0" fontId="48" fillId="12" borderId="93" xfId="0" applyFont="1" applyFill="1" applyBorder="1" applyAlignment="1">
      <alignment vertical="top"/>
    </xf>
    <xf numFmtId="0" fontId="48" fillId="12" borderId="5" xfId="0" applyFont="1" applyFill="1" applyBorder="1" applyAlignment="1">
      <alignment vertical="top"/>
    </xf>
    <xf numFmtId="167" fontId="13" fillId="13" borderId="5" xfId="0" applyNumberFormat="1" applyFont="1" applyFill="1" applyBorder="1" applyAlignment="1">
      <alignment horizontal="center" vertical="justify"/>
    </xf>
    <xf numFmtId="167" fontId="13" fillId="13" borderId="4" xfId="0" applyNumberFormat="1" applyFont="1" applyFill="1" applyBorder="1" applyAlignment="1">
      <alignment horizontal="center" vertical="justify"/>
    </xf>
    <xf numFmtId="167" fontId="13" fillId="13" borderId="3" xfId="0" applyNumberFormat="1" applyFont="1" applyFill="1" applyBorder="1" applyAlignment="1">
      <alignment horizontal="center" vertical="justify"/>
    </xf>
    <xf numFmtId="0" fontId="43" fillId="6" borderId="28" xfId="0" applyFont="1" applyFill="1" applyBorder="1" applyAlignment="1">
      <alignment vertical="justify"/>
    </xf>
    <xf numFmtId="0" fontId="43" fillId="6" borderId="20" xfId="0" applyFont="1" applyFill="1" applyBorder="1" applyAlignment="1">
      <alignment horizontal="left" vertical="justify"/>
    </xf>
    <xf numFmtId="0" fontId="43" fillId="6" borderId="29" xfId="0" applyFont="1" applyFill="1" applyBorder="1" applyAlignment="1">
      <alignment horizontal="left" vertical="justify"/>
    </xf>
    <xf numFmtId="0" fontId="43" fillId="6" borderId="31" xfId="0" applyFont="1" applyFill="1" applyBorder="1" applyAlignment="1">
      <alignment horizontal="left" vertical="justify"/>
    </xf>
    <xf numFmtId="173" fontId="49" fillId="12" borderId="93" xfId="0" applyNumberFormat="1" applyFont="1" applyFill="1" applyBorder="1" applyAlignment="1">
      <alignment vertical="top"/>
    </xf>
    <xf numFmtId="173" fontId="49" fillId="12" borderId="94" xfId="0" applyNumberFormat="1" applyFont="1" applyFill="1" applyBorder="1" applyAlignment="1">
      <alignment vertical="top"/>
    </xf>
    <xf numFmtId="167" fontId="16" fillId="13" borderId="35" xfId="0" applyNumberFormat="1" applyFont="1" applyFill="1" applyBorder="1"/>
    <xf numFmtId="167" fontId="16" fillId="13" borderId="12" xfId="0" applyNumberFormat="1" applyFont="1" applyFill="1" applyBorder="1"/>
    <xf numFmtId="167" fontId="16" fillId="13" borderId="39" xfId="0" applyNumberFormat="1" applyFont="1" applyFill="1" applyBorder="1"/>
    <xf numFmtId="167" fontId="13" fillId="13" borderId="64" xfId="0" applyNumberFormat="1" applyFont="1" applyFill="1" applyBorder="1" applyAlignment="1">
      <alignment horizontal="center" vertical="justify"/>
    </xf>
    <xf numFmtId="167" fontId="13" fillId="13" borderId="65" xfId="0" applyNumberFormat="1" applyFont="1" applyFill="1" applyBorder="1" applyAlignment="1">
      <alignment horizontal="center" vertical="justify"/>
    </xf>
    <xf numFmtId="167" fontId="13" fillId="13" borderId="66" xfId="0" applyNumberFormat="1" applyFont="1" applyFill="1" applyBorder="1" applyAlignment="1">
      <alignment horizontal="center" vertical="justify"/>
    </xf>
    <xf numFmtId="167" fontId="13" fillId="13" borderId="95" xfId="0" applyNumberFormat="1" applyFont="1" applyFill="1" applyBorder="1" applyAlignment="1">
      <alignment horizontal="center" vertical="justify"/>
    </xf>
    <xf numFmtId="172" fontId="28" fillId="13" borderId="80" xfId="0" applyNumberFormat="1" applyFont="1" applyFill="1" applyBorder="1" applyAlignment="1">
      <alignment horizontal="center" vertical="justify"/>
    </xf>
    <xf numFmtId="0" fontId="11" fillId="6" borderId="35" xfId="0" applyFont="1" applyFill="1" applyBorder="1" applyAlignment="1">
      <alignment horizontal="center" vertical="justify"/>
    </xf>
    <xf numFmtId="0" fontId="11" fillId="6" borderId="16" xfId="0" applyFont="1" applyFill="1" applyBorder="1" applyAlignment="1">
      <alignment horizontal="left" vertical="justify"/>
    </xf>
    <xf numFmtId="0" fontId="11" fillId="6" borderId="36" xfId="0" applyFont="1" applyFill="1" applyBorder="1" applyAlignment="1">
      <alignment horizontal="left" vertical="justify"/>
    </xf>
    <xf numFmtId="0" fontId="11" fillId="6" borderId="18" xfId="0" applyFont="1" applyFill="1" applyBorder="1" applyAlignment="1">
      <alignment horizontal="left" vertical="justify"/>
    </xf>
    <xf numFmtId="0" fontId="4" fillId="12" borderId="88" xfId="0" applyFont="1" applyFill="1" applyBorder="1"/>
    <xf numFmtId="14" fontId="44" fillId="12" borderId="12" xfId="0" applyNumberFormat="1" applyFont="1" applyFill="1" applyBorder="1" applyAlignment="1">
      <alignment vertical="top"/>
    </xf>
    <xf numFmtId="0" fontId="44" fillId="12" borderId="16" xfId="0" applyFont="1" applyFill="1" applyBorder="1" applyAlignment="1">
      <alignment vertical="top"/>
    </xf>
    <xf numFmtId="0" fontId="43" fillId="6" borderId="35" xfId="0" applyFont="1" applyFill="1" applyBorder="1" applyAlignment="1">
      <alignment vertical="justify"/>
    </xf>
    <xf numFmtId="0" fontId="43" fillId="6" borderId="16" xfId="0" applyFont="1" applyFill="1" applyBorder="1" applyAlignment="1">
      <alignment horizontal="left" vertical="justify"/>
    </xf>
    <xf numFmtId="0" fontId="43" fillId="6" borderId="36" xfId="0" applyFont="1" applyFill="1" applyBorder="1" applyAlignment="1">
      <alignment horizontal="left" vertical="justify"/>
    </xf>
    <xf numFmtId="0" fontId="43" fillId="6" borderId="18" xfId="0" applyFont="1" applyFill="1" applyBorder="1" applyAlignment="1">
      <alignment horizontal="left" vertical="justify"/>
    </xf>
    <xf numFmtId="0" fontId="4" fillId="0" borderId="0" xfId="0" applyFont="1"/>
    <xf numFmtId="0" fontId="44" fillId="12" borderId="12" xfId="0" applyFont="1" applyFill="1" applyBorder="1" applyAlignment="1">
      <alignment vertical="top"/>
    </xf>
    <xf numFmtId="9" fontId="17" fillId="13" borderId="35" xfId="0" applyNumberFormat="1" applyFont="1" applyFill="1" applyBorder="1" applyAlignment="1">
      <alignment vertical="top"/>
    </xf>
    <xf numFmtId="4" fontId="39" fillId="13" borderId="12" xfId="0" applyNumberFormat="1" applyFont="1" applyFill="1" applyBorder="1" applyAlignment="1">
      <alignment vertical="top"/>
    </xf>
    <xf numFmtId="0" fontId="17" fillId="13" borderId="12" xfId="0" applyFont="1" applyFill="1" applyBorder="1" applyAlignment="1">
      <alignment vertical="top"/>
    </xf>
    <xf numFmtId="0" fontId="17" fillId="13" borderId="89" xfId="0" applyFont="1" applyFill="1" applyBorder="1"/>
    <xf numFmtId="0" fontId="43" fillId="6" borderId="96" xfId="0" applyFont="1" applyFill="1" applyBorder="1" applyAlignment="1">
      <alignment vertical="justify"/>
    </xf>
    <xf numFmtId="0" fontId="43" fillId="6" borderId="17" xfId="0" applyFont="1" applyFill="1" applyBorder="1" applyAlignment="1">
      <alignment horizontal="left" vertical="justify"/>
    </xf>
    <xf numFmtId="0" fontId="43" fillId="6" borderId="97" xfId="0" applyFont="1" applyFill="1" applyBorder="1" applyAlignment="1">
      <alignment horizontal="left" vertical="justify"/>
    </xf>
    <xf numFmtId="0" fontId="43" fillId="6" borderId="62" xfId="0" applyFont="1" applyFill="1" applyBorder="1" applyAlignment="1">
      <alignment horizontal="left" vertical="justify"/>
    </xf>
    <xf numFmtId="14" fontId="28" fillId="6" borderId="98" xfId="0" applyNumberFormat="1" applyFont="1" applyFill="1" applyBorder="1" applyAlignment="1">
      <alignment horizontal="center" vertical="justify"/>
    </xf>
    <xf numFmtId="14" fontId="28" fillId="6" borderId="99" xfId="0" applyNumberFormat="1" applyFont="1" applyFill="1" applyBorder="1" applyAlignment="1">
      <alignment horizontal="center" vertical="justify"/>
    </xf>
    <xf numFmtId="0" fontId="5" fillId="12" borderId="88" xfId="0" applyFont="1" applyFill="1" applyBorder="1"/>
    <xf numFmtId="0" fontId="16" fillId="13" borderId="35" xfId="0" applyFont="1" applyFill="1" applyBorder="1" applyAlignment="1">
      <alignment vertical="top"/>
    </xf>
    <xf numFmtId="172" fontId="16" fillId="13" borderId="12" xfId="0" applyNumberFormat="1" applyFont="1" applyFill="1" applyBorder="1" applyAlignment="1">
      <alignment vertical="top"/>
    </xf>
    <xf numFmtId="0" fontId="16" fillId="13" borderId="12" xfId="0" applyFont="1" applyFill="1" applyBorder="1" applyAlignment="1">
      <alignment vertical="top"/>
    </xf>
    <xf numFmtId="0" fontId="16" fillId="13" borderId="89" xfId="0" applyFont="1" applyFill="1" applyBorder="1"/>
    <xf numFmtId="0" fontId="43" fillId="6" borderId="24" xfId="0" applyFont="1" applyFill="1" applyBorder="1" applyAlignment="1">
      <alignment vertical="justify"/>
    </xf>
    <xf numFmtId="0" fontId="43" fillId="6" borderId="59" xfId="0" applyFont="1" applyFill="1" applyBorder="1" applyAlignment="1">
      <alignment horizontal="left" vertical="justify"/>
    </xf>
    <xf numFmtId="0" fontId="43" fillId="6" borderId="60" xfId="0" applyFont="1" applyFill="1" applyBorder="1" applyAlignment="1">
      <alignment horizontal="left" vertical="justify"/>
    </xf>
    <xf numFmtId="0" fontId="43" fillId="6" borderId="61" xfId="0" applyFont="1" applyFill="1" applyBorder="1" applyAlignment="1">
      <alignment horizontal="left" vertical="justify"/>
    </xf>
    <xf numFmtId="0" fontId="4" fillId="12" borderId="100" xfId="0" applyFont="1" applyFill="1" applyBorder="1"/>
    <xf numFmtId="167" fontId="16" fillId="12" borderId="97" xfId="0" applyNumberFormat="1" applyFont="1" applyFill="1" applyBorder="1"/>
    <xf numFmtId="167" fontId="16" fillId="12" borderId="101" xfId="0" applyNumberFormat="1" applyFont="1" applyFill="1" applyBorder="1"/>
    <xf numFmtId="4" fontId="28" fillId="12" borderId="12" xfId="0" applyNumberFormat="1" applyFont="1" applyFill="1" applyBorder="1" applyAlignment="1">
      <alignment vertical="top"/>
    </xf>
    <xf numFmtId="4" fontId="28" fillId="12" borderId="16" xfId="0" applyNumberFormat="1" applyFont="1" applyFill="1" applyBorder="1" applyAlignment="1">
      <alignment vertical="top"/>
    </xf>
    <xf numFmtId="0" fontId="16" fillId="13" borderId="52" xfId="0" applyFont="1" applyFill="1" applyBorder="1" applyAlignment="1">
      <alignment vertical="top"/>
    </xf>
    <xf numFmtId="14" fontId="16" fillId="13" borderId="56" xfId="0" applyNumberFormat="1" applyFont="1" applyFill="1" applyBorder="1" applyAlignment="1">
      <alignment vertical="top"/>
    </xf>
    <xf numFmtId="0" fontId="16" fillId="13" borderId="56" xfId="0" applyFont="1" applyFill="1" applyBorder="1" applyAlignment="1">
      <alignment vertical="top"/>
    </xf>
    <xf numFmtId="0" fontId="16" fillId="13" borderId="83" xfId="0" applyFont="1" applyFill="1" applyBorder="1"/>
    <xf numFmtId="0" fontId="32" fillId="12" borderId="102" xfId="0" applyFont="1" applyFill="1" applyBorder="1"/>
    <xf numFmtId="167" fontId="16" fillId="12" borderId="29" xfId="0" applyNumberFormat="1" applyFont="1" applyFill="1" applyBorder="1"/>
    <xf numFmtId="167" fontId="16" fillId="12" borderId="30" xfId="0" applyNumberFormat="1" applyFont="1" applyFill="1" applyBorder="1"/>
    <xf numFmtId="0" fontId="4" fillId="0" borderId="0" xfId="0" applyFont="1" applyAlignment="1">
      <alignment vertical="top"/>
    </xf>
    <xf numFmtId="0" fontId="5" fillId="12" borderId="82" xfId="0" applyFont="1" applyFill="1" applyBorder="1"/>
    <xf numFmtId="167" fontId="16" fillId="12" borderId="72" xfId="0" applyNumberFormat="1" applyFont="1" applyFill="1" applyBorder="1"/>
    <xf numFmtId="167" fontId="16" fillId="12" borderId="83" xfId="0" applyNumberFormat="1" applyFont="1" applyFill="1" applyBorder="1"/>
    <xf numFmtId="0" fontId="5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W55"/>
  <sheetViews>
    <sheetView workbookViewId="0" zoomScale="200" zoomScaleNormal="200">
      <pane xSplit="2" topLeftCell="BY1" activePane="topRight" state="frozen"/>
      <selection pane="topRight" activeCell="CC20" sqref="CC20"/>
    </sheetView>
  </sheetViews>
  <sheetFormatPr defaultRowHeight="16" outlineLevelRow="0" outlineLevelCol="0" x14ac:dyDescent="0" defaultColWidth="11.5" customHeight="1"/>
  <cols>
    <col min="1" max="1" width="1.5" style="1" customWidth="1"/>
    <col min="2" max="2" width="15" style="1" customWidth="1"/>
    <col min="3" max="3" width="4" style="2" customWidth="1"/>
    <col min="4" max="5" width="2.6640625" style="2" customWidth="1"/>
    <col min="6" max="6" width="3.5" style="2" customWidth="1"/>
    <col min="7" max="7" width="2.6640625" style="2" customWidth="1"/>
    <col min="8" max="8" width="3.33203125" style="2" customWidth="1"/>
    <col min="9" max="14" width="2.6640625" style="2" customWidth="1"/>
    <col min="15" max="15" width="6.1640625" style="2" customWidth="1"/>
    <col min="16" max="39" width="2.6640625" style="2" customWidth="1"/>
    <col min="40" max="63" width="2.1640625" style="2" customWidth="1"/>
    <col min="64" max="64" width="2.5" style="2" customWidth="1"/>
    <col min="65" max="65" width="4.6640625" style="3" customWidth="1"/>
    <col min="66" max="66" width="4.83203125" customWidth="1"/>
    <col min="67" max="67" width="4.83203125" style="4" customWidth="1"/>
    <col min="68" max="68" width="2.1640625" customWidth="1"/>
    <col min="69" max="69" width="7.1640625" style="3" customWidth="1"/>
    <col min="70" max="70" width="5.1640625" customWidth="1"/>
    <col min="71" max="71" width="3.6640625" customWidth="1"/>
    <col min="72" max="72" width="4.6640625" customWidth="1"/>
    <col min="73" max="73" width="6" customWidth="1"/>
    <col min="74" max="74" width="5" customWidth="1"/>
    <col min="75" max="75" width="4.6640625" customWidth="1"/>
    <col min="76" max="76" width="5.5" customWidth="1"/>
    <col min="77" max="77" width="6" customWidth="1"/>
    <col min="78" max="78" width="4.5" customWidth="1"/>
    <col min="79" max="79" width="4.6640625" customWidth="1"/>
    <col min="80" max="80" width="5" customWidth="1"/>
    <col min="81" max="81" width="5.5" style="3" customWidth="1"/>
    <col min="82" max="82" width="5.1640625" style="5" customWidth="1"/>
    <col min="83" max="83" width="5" style="5" customWidth="1"/>
    <col min="84" max="84" width="4" style="3" customWidth="1"/>
    <col min="85" max="85" width="5.1640625" style="3" customWidth="1"/>
    <col min="86" max="87" width="5" customWidth="1"/>
    <col min="88" max="88" width="3.5" customWidth="1"/>
    <col min="89" max="89" width="5.1640625" customWidth="1"/>
    <col min="90" max="90" width="4.83203125" customWidth="1"/>
    <col min="91" max="91" width="5.33203125" customWidth="1"/>
    <col min="92" max="92" width="5" customWidth="1"/>
    <col min="93" max="94" width="4.6640625" customWidth="1"/>
    <col min="95" max="96" width="4.83203125" customWidth="1"/>
  </cols>
  <sheetData>
    <row r="1" ht="8" customHeight="1" spans="1:87" s="6" customFormat="1" x14ac:dyDescent="0.25">
      <c r="A1" s="1"/>
      <c r="B1" s="7" t="s">
        <v>0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9">
        <f>I2</f>
        <v>46023</v>
      </c>
      <c r="BE1" s="9"/>
      <c r="BF1" s="9"/>
      <c r="BG1" s="9"/>
      <c r="BH1" s="9"/>
      <c r="BI1" s="9"/>
      <c r="BJ1" s="8"/>
      <c r="BK1" s="8"/>
      <c r="BL1" s="8"/>
      <c r="BM1" s="10"/>
      <c r="BN1" s="10"/>
      <c r="BO1" s="10"/>
      <c r="BP1" s="11"/>
      <c r="BQ1" s="12">
        <f>I2</f>
        <v>46023</v>
      </c>
      <c r="BR1" s="13"/>
      <c r="BS1" s="13"/>
      <c r="BT1" s="13"/>
      <c r="BU1" s="13"/>
      <c r="BV1" s="14"/>
      <c r="BW1" s="14"/>
      <c r="BX1" s="14"/>
      <c r="BY1" s="13"/>
      <c r="BZ1" s="13"/>
      <c r="CA1" s="14"/>
      <c r="CB1" s="14"/>
      <c r="CC1" s="14"/>
      <c r="CD1" s="14"/>
      <c r="CE1" s="14"/>
      <c r="CF1" s="14"/>
      <c r="CG1" s="14"/>
      <c r="CH1" s="14"/>
      <c r="CI1" s="14"/>
    </row>
    <row r="2" ht="9" customHeight="1" spans="1:87" s="6" customFormat="1" x14ac:dyDescent="0.25">
      <c r="A2" s="1"/>
      <c r="B2" s="7" t="s">
        <v>1</v>
      </c>
      <c r="C2" s="8"/>
      <c r="D2" s="8"/>
      <c r="E2" s="8"/>
      <c r="F2" s="8"/>
      <c r="G2" s="8"/>
      <c r="H2" s="8"/>
      <c r="I2" s="15">
        <v>46023</v>
      </c>
      <c r="J2" s="15"/>
      <c r="K2" s="15"/>
      <c r="L2" s="15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16" t="s">
        <v>2</v>
      </c>
      <c r="BE2" s="16"/>
      <c r="BF2" s="16"/>
      <c r="BG2" s="16"/>
      <c r="BH2" s="16"/>
      <c r="BI2" s="16"/>
      <c r="BJ2" s="8"/>
      <c r="BK2" s="8"/>
      <c r="BL2" s="8"/>
      <c r="BM2" s="10"/>
      <c r="BN2" s="10"/>
      <c r="BO2" s="10"/>
      <c r="BQ2" s="17" t="s">
        <v>3</v>
      </c>
      <c r="BR2" s="13"/>
      <c r="BS2" s="13"/>
      <c r="BT2" s="13"/>
      <c r="BU2" s="13"/>
      <c r="BV2" s="14"/>
      <c r="BW2" s="14"/>
      <c r="BX2" s="14"/>
      <c r="BY2" s="13"/>
      <c r="BZ2" s="13"/>
      <c r="CA2" s="14"/>
      <c r="CB2" s="14"/>
      <c r="CC2" s="14"/>
      <c r="CD2" s="14"/>
      <c r="CE2" s="14"/>
      <c r="CF2" s="14"/>
      <c r="CG2" s="14">
        <v>1400</v>
      </c>
      <c r="CH2" s="14"/>
      <c r="CI2" s="14"/>
    </row>
    <row r="3" ht="9.5" customHeight="1" spans="1:94" x14ac:dyDescent="0.25">
      <c r="A3" s="18"/>
      <c r="B3" s="19" t="s">
        <v>4</v>
      </c>
      <c r="C3" s="20">
        <v>1</v>
      </c>
      <c r="D3" s="20">
        <v>1</v>
      </c>
      <c r="E3" s="20">
        <v>2</v>
      </c>
      <c r="F3" s="20">
        <v>2</v>
      </c>
      <c r="G3" s="20">
        <v>3</v>
      </c>
      <c r="H3" s="20">
        <v>3</v>
      </c>
      <c r="I3" s="20">
        <v>4</v>
      </c>
      <c r="J3" s="20">
        <v>4</v>
      </c>
      <c r="K3" s="20">
        <v>5</v>
      </c>
      <c r="L3" s="20">
        <v>5</v>
      </c>
      <c r="M3" s="20">
        <v>6</v>
      </c>
      <c r="N3" s="20">
        <v>6</v>
      </c>
      <c r="O3" s="20">
        <v>7</v>
      </c>
      <c r="P3" s="20">
        <v>7</v>
      </c>
      <c r="Q3" s="20">
        <v>8</v>
      </c>
      <c r="R3" s="20">
        <v>8</v>
      </c>
      <c r="S3" s="20">
        <v>9</v>
      </c>
      <c r="T3" s="20">
        <v>9</v>
      </c>
      <c r="U3" s="20">
        <v>10</v>
      </c>
      <c r="V3" s="20">
        <v>10</v>
      </c>
      <c r="W3" s="20">
        <v>11</v>
      </c>
      <c r="X3" s="20">
        <v>11</v>
      </c>
      <c r="Y3" s="20">
        <v>12</v>
      </c>
      <c r="Z3" s="20">
        <v>12</v>
      </c>
      <c r="AA3" s="20">
        <v>13</v>
      </c>
      <c r="AB3" s="20">
        <v>13</v>
      </c>
      <c r="AC3" s="20">
        <v>14</v>
      </c>
      <c r="AD3" s="20">
        <v>14</v>
      </c>
      <c r="AE3" s="20">
        <v>15</v>
      </c>
      <c r="AF3" s="20">
        <v>15</v>
      </c>
      <c r="AG3" s="20">
        <v>16</v>
      </c>
      <c r="AH3" s="20">
        <v>16</v>
      </c>
      <c r="AI3" s="20">
        <v>17</v>
      </c>
      <c r="AJ3" s="20">
        <v>17</v>
      </c>
      <c r="AK3" s="20">
        <v>18</v>
      </c>
      <c r="AL3" s="20">
        <v>18</v>
      </c>
      <c r="AM3" s="20">
        <v>19</v>
      </c>
      <c r="AN3" s="20">
        <v>19</v>
      </c>
      <c r="AO3" s="20">
        <v>20</v>
      </c>
      <c r="AP3" s="20">
        <v>20</v>
      </c>
      <c r="AQ3" s="20">
        <v>21</v>
      </c>
      <c r="AR3" s="20">
        <v>21</v>
      </c>
      <c r="AS3" s="20">
        <v>22</v>
      </c>
      <c r="AT3" s="20">
        <v>22</v>
      </c>
      <c r="AU3" s="20">
        <v>23</v>
      </c>
      <c r="AV3" s="20">
        <v>23</v>
      </c>
      <c r="AW3" s="20">
        <v>24</v>
      </c>
      <c r="AX3" s="20">
        <v>24</v>
      </c>
      <c r="AY3" s="20">
        <v>25</v>
      </c>
      <c r="AZ3" s="20">
        <v>25</v>
      </c>
      <c r="BA3" s="20">
        <v>26</v>
      </c>
      <c r="BB3" s="20">
        <v>26</v>
      </c>
      <c r="BC3" s="20">
        <v>27</v>
      </c>
      <c r="BD3" s="20">
        <v>27</v>
      </c>
      <c r="BE3" s="20">
        <v>28</v>
      </c>
      <c r="BF3" s="20">
        <v>28</v>
      </c>
      <c r="BG3" s="20">
        <v>29</v>
      </c>
      <c r="BH3" s="20">
        <v>29</v>
      </c>
      <c r="BI3" s="20">
        <v>30</v>
      </c>
      <c r="BJ3" s="20">
        <v>30</v>
      </c>
      <c r="BK3" s="20">
        <v>31</v>
      </c>
      <c r="BL3" s="20">
        <v>31</v>
      </c>
      <c r="BM3" s="21" t="s">
        <v>5</v>
      </c>
      <c r="BN3" s="21" t="s">
        <v>6</v>
      </c>
      <c r="BO3" s="21" t="s">
        <v>7</v>
      </c>
      <c r="BP3" s="22"/>
      <c r="BQ3" s="22"/>
      <c r="BR3" s="23"/>
      <c r="BS3" s="23" t="s">
        <v>8</v>
      </c>
      <c r="BT3" s="24"/>
      <c r="BU3" s="24"/>
      <c r="BV3" s="25"/>
      <c r="BW3" s="26" t="s">
        <v>9</v>
      </c>
      <c r="BX3" s="27"/>
      <c r="BY3" s="28"/>
      <c r="BZ3" s="28" t="s">
        <v>10</v>
      </c>
      <c r="CA3" s="29" t="s">
        <v>11</v>
      </c>
      <c r="CB3" s="29" t="s">
        <v>12</v>
      </c>
      <c r="CC3" s="29"/>
      <c r="CD3" s="29" t="s">
        <v>13</v>
      </c>
      <c r="CE3" s="29" t="s">
        <v>14</v>
      </c>
      <c r="CF3" s="29" t="s">
        <v>15</v>
      </c>
      <c r="CG3" s="29" t="s">
        <v>16</v>
      </c>
      <c r="CH3" s="29" t="s">
        <v>17</v>
      </c>
      <c r="CI3" s="30" t="s">
        <v>18</v>
      </c>
      <c r="CJ3" s="22"/>
      <c r="CK3" s="22" t="s">
        <v>19</v>
      </c>
      <c r="CL3" s="22" t="s">
        <v>20</v>
      </c>
      <c r="CM3" s="31">
        <v>0.22</v>
      </c>
      <c r="CN3" s="32" t="s">
        <v>21</v>
      </c>
      <c r="CO3" s="32" t="s">
        <v>22</v>
      </c>
      <c r="CP3" s="32" t="s">
        <v>23</v>
      </c>
    </row>
    <row r="4" ht="9" customHeight="1" spans="1:94" x14ac:dyDescent="0.25">
      <c r="A4" s="18"/>
      <c r="B4" s="33"/>
      <c r="C4" s="20" t="s">
        <v>24</v>
      </c>
      <c r="D4" s="20"/>
      <c r="E4" s="20" t="s">
        <v>25</v>
      </c>
      <c r="F4" s="20"/>
      <c r="G4" s="20" t="s">
        <v>26</v>
      </c>
      <c r="H4" s="20"/>
      <c r="I4" s="20" t="s">
        <v>27</v>
      </c>
      <c r="J4" s="20"/>
      <c r="K4" s="20" t="s">
        <v>28</v>
      </c>
      <c r="L4" s="20"/>
      <c r="M4" s="20" t="s">
        <v>29</v>
      </c>
      <c r="N4" s="20"/>
      <c r="O4" s="20" t="s">
        <v>30</v>
      </c>
      <c r="P4" s="20"/>
      <c r="Q4" s="20" t="s">
        <v>24</v>
      </c>
      <c r="R4" s="20"/>
      <c r="S4" s="20" t="s">
        <v>25</v>
      </c>
      <c r="T4" s="20"/>
      <c r="U4" s="20" t="s">
        <v>26</v>
      </c>
      <c r="V4" s="20"/>
      <c r="W4" s="20" t="s">
        <v>27</v>
      </c>
      <c r="X4" s="20"/>
      <c r="Y4" s="20" t="s">
        <v>28</v>
      </c>
      <c r="Z4" s="20"/>
      <c r="AA4" s="20" t="s">
        <v>29</v>
      </c>
      <c r="AB4" s="20"/>
      <c r="AC4" s="20" t="s">
        <v>30</v>
      </c>
      <c r="AD4" s="20"/>
      <c r="AE4" s="20" t="s">
        <v>24</v>
      </c>
      <c r="AF4" s="20"/>
      <c r="AG4" s="20" t="s">
        <v>25</v>
      </c>
      <c r="AH4" s="20"/>
      <c r="AI4" s="20" t="s">
        <v>26</v>
      </c>
      <c r="AJ4" s="20"/>
      <c r="AK4" s="20" t="s">
        <v>27</v>
      </c>
      <c r="AL4" s="20"/>
      <c r="AM4" s="20" t="s">
        <v>28</v>
      </c>
      <c r="AN4" s="20"/>
      <c r="AO4" s="20" t="s">
        <v>29</v>
      </c>
      <c r="AP4" s="20"/>
      <c r="AQ4" s="20" t="s">
        <v>30</v>
      </c>
      <c r="AR4" s="20"/>
      <c r="AS4" s="20" t="s">
        <v>24</v>
      </c>
      <c r="AT4" s="20"/>
      <c r="AU4" s="20" t="s">
        <v>25</v>
      </c>
      <c r="AV4" s="20"/>
      <c r="AW4" s="20" t="s">
        <v>26</v>
      </c>
      <c r="AX4" s="20"/>
      <c r="AY4" s="20" t="s">
        <v>27</v>
      </c>
      <c r="AZ4" s="20"/>
      <c r="BA4" s="20" t="s">
        <v>28</v>
      </c>
      <c r="BB4" s="20"/>
      <c r="BC4" s="20" t="s">
        <v>29</v>
      </c>
      <c r="BD4" s="20"/>
      <c r="BE4" s="20" t="s">
        <v>30</v>
      </c>
      <c r="BF4" s="20"/>
      <c r="BG4" s="20" t="s">
        <v>24</v>
      </c>
      <c r="BH4" s="20"/>
      <c r="BI4" s="20" t="s">
        <v>25</v>
      </c>
      <c r="BJ4" s="20"/>
      <c r="BK4" s="20" t="s">
        <v>26</v>
      </c>
      <c r="BL4" s="20"/>
      <c r="BM4" s="21" t="s">
        <v>31</v>
      </c>
      <c r="BN4" s="21" t="s">
        <v>31</v>
      </c>
      <c r="BO4" s="21"/>
      <c r="BP4" s="22"/>
      <c r="BQ4" s="22"/>
      <c r="BR4" s="29" t="s">
        <v>32</v>
      </c>
      <c r="BS4" s="34" t="s">
        <v>33</v>
      </c>
      <c r="BT4" s="34" t="s">
        <v>34</v>
      </c>
      <c r="BU4" s="34" t="s">
        <v>35</v>
      </c>
      <c r="BV4" s="35" t="s">
        <v>36</v>
      </c>
      <c r="BW4" s="29" t="s">
        <v>32</v>
      </c>
      <c r="BX4" s="29" t="s">
        <v>37</v>
      </c>
      <c r="BY4" s="36" t="s">
        <v>38</v>
      </c>
      <c r="BZ4" s="36" t="s">
        <v>39</v>
      </c>
      <c r="CA4" s="37"/>
      <c r="CB4" s="29" t="s">
        <v>12</v>
      </c>
      <c r="CC4" s="29" t="s">
        <v>10</v>
      </c>
      <c r="CD4" s="37"/>
      <c r="CE4" s="29" t="s">
        <v>40</v>
      </c>
      <c r="CF4" s="37"/>
      <c r="CG4" s="29" t="s">
        <v>41</v>
      </c>
      <c r="CH4" s="29">
        <v>0.13</v>
      </c>
      <c r="CI4" s="30" t="s">
        <v>42</v>
      </c>
      <c r="CJ4" s="22" t="s">
        <v>43</v>
      </c>
      <c r="CK4" s="22" t="s">
        <v>44</v>
      </c>
      <c r="CL4" s="22" t="s">
        <v>45</v>
      </c>
      <c r="CM4" s="38"/>
      <c r="CN4" s="39"/>
      <c r="CO4" s="39"/>
      <c r="CP4" s="39"/>
    </row>
    <row r="5" ht="7.75" customHeight="1" hidden="1" spans="1:94" x14ac:dyDescent="0.25">
      <c r="A5" s="18"/>
      <c r="B5" s="19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1"/>
      <c r="BN5" s="21"/>
      <c r="BO5" s="21"/>
      <c r="BP5" s="22"/>
      <c r="BQ5" s="40"/>
      <c r="BR5" s="29" t="s">
        <v>46</v>
      </c>
      <c r="BS5" s="22" t="s">
        <v>47</v>
      </c>
      <c r="BT5" s="22" t="s">
        <v>48</v>
      </c>
      <c r="BU5" s="22" t="s">
        <v>47</v>
      </c>
      <c r="BV5" s="35" t="s">
        <v>47</v>
      </c>
      <c r="BW5" s="29" t="s">
        <v>46</v>
      </c>
      <c r="BX5" s="29">
        <v>0.2</v>
      </c>
      <c r="BY5" s="36" t="s">
        <v>49</v>
      </c>
      <c r="BZ5" s="36"/>
      <c r="CA5" s="29" t="s">
        <v>50</v>
      </c>
      <c r="CB5" s="29"/>
      <c r="CC5" s="29"/>
      <c r="CD5" s="29" t="s">
        <v>16</v>
      </c>
      <c r="CE5" s="29"/>
      <c r="CF5" s="29" t="s">
        <v>51</v>
      </c>
      <c r="CG5" s="29" t="s">
        <v>52</v>
      </c>
      <c r="CH5" s="29" t="s">
        <v>53</v>
      </c>
      <c r="CI5" s="30"/>
      <c r="CJ5" s="22"/>
      <c r="CK5" s="22"/>
      <c r="CL5" s="22"/>
      <c r="CM5" s="41"/>
      <c r="CN5" s="42"/>
      <c r="CO5" s="42"/>
      <c r="CP5" s="42"/>
    </row>
    <row r="6" ht="9" customHeight="1" spans="1:94" x14ac:dyDescent="0.25">
      <c r="A6" s="43">
        <v>1</v>
      </c>
      <c r="B6" s="44" t="s">
        <v>54</v>
      </c>
      <c r="C6" s="45"/>
      <c r="D6" s="46"/>
      <c r="E6" s="47"/>
      <c r="F6" s="48"/>
      <c r="G6" s="45"/>
      <c r="H6" s="46"/>
      <c r="I6" s="45"/>
      <c r="J6" s="46"/>
      <c r="K6" s="47"/>
      <c r="L6" s="48"/>
      <c r="M6" s="47"/>
      <c r="N6" s="48"/>
      <c r="O6" s="45"/>
      <c r="P6" s="46"/>
      <c r="Q6" s="47"/>
      <c r="R6" s="48"/>
      <c r="S6" s="45"/>
      <c r="T6" s="46"/>
      <c r="U6" s="45"/>
      <c r="V6" s="46"/>
      <c r="W6" s="47"/>
      <c r="X6" s="48"/>
      <c r="Y6" s="47"/>
      <c r="Z6" s="46"/>
      <c r="AA6" s="45"/>
      <c r="AB6" s="46"/>
      <c r="AC6" s="47"/>
      <c r="AD6" s="48"/>
      <c r="AE6" s="45"/>
      <c r="AF6" s="46"/>
      <c r="AG6" s="45"/>
      <c r="AH6" s="46"/>
      <c r="AI6" s="47"/>
      <c r="AJ6" s="48"/>
      <c r="AK6" s="47"/>
      <c r="AL6" s="48"/>
      <c r="AM6" s="45"/>
      <c r="AN6" s="46"/>
      <c r="AO6" s="47"/>
      <c r="AP6" s="48"/>
      <c r="AQ6" s="45"/>
      <c r="AR6" s="46"/>
      <c r="AS6" s="45"/>
      <c r="AT6" s="46"/>
      <c r="AU6" s="47"/>
      <c r="AV6" s="48"/>
      <c r="AW6" s="47"/>
      <c r="AX6" s="48"/>
      <c r="AY6" s="45"/>
      <c r="AZ6" s="46"/>
      <c r="BA6" s="47"/>
      <c r="BB6" s="48"/>
      <c r="BC6" s="45"/>
      <c r="BD6" s="46"/>
      <c r="BE6" s="45"/>
      <c r="BF6" s="46"/>
      <c r="BG6" s="47"/>
      <c r="BH6" s="48"/>
      <c r="BI6" s="47"/>
      <c r="BJ6" s="46"/>
      <c r="BK6" s="45"/>
      <c r="BL6" s="46"/>
      <c r="BM6" s="49">
        <f>C6+E6+G6+I6+K6+M6+O6+Q6+S6+U6+W6+Y6+AA6+AC6+AE6+AG6+AI6+AK6+AM6+AO6+AQ6+AS6+AU6+AW6+AY6+BA6+BC6+BE6+BG6+BI6+BK6</f>
        <v>0</v>
      </c>
      <c r="BN6" s="50">
        <f>D6+F6+H6+J6+L6+N6+P6+R6+T6+V6+X6+Z6+AB6+AD6+AF6+AH6+AJ6+AL6+AN6+AP6+AR6+AT6+AV6+AX6+AZ6+BB6+BD6+BF6+BH6+BJ6+BL6</f>
        <v>374</v>
      </c>
      <c r="BO6" s="51">
        <f>BM6+BN6</f>
        <v>374</v>
      </c>
      <c r="BP6" s="52">
        <v>1</v>
      </c>
      <c r="BQ6" s="53" t="s">
        <v>55</v>
      </c>
      <c r="BR6" s="54">
        <v>4500</v>
      </c>
      <c r="BS6" s="54">
        <v>164.4</v>
      </c>
      <c r="BT6" s="54">
        <f t="shared" ref="BT6:BT15" si="0">BR6/BS6</f>
        <v>27.37226277372263</v>
      </c>
      <c r="BU6" s="54">
        <f t="shared" ref="BU6" si="1">BO6</f>
        <v>374</v>
      </c>
      <c r="BV6" s="54">
        <f t="shared" ref="BV6:BV15" si="2">BU6-BS6</f>
        <v>209.6</v>
      </c>
      <c r="BW6" s="55">
        <f>BT6*BU6</f>
        <v>10237.226277372263</v>
      </c>
      <c r="BX6" s="54">
        <f t="shared" ref="BX6:BX15" si="3">BW6*20%</f>
        <v>2047.4452554744528</v>
      </c>
      <c r="BY6" s="54">
        <f t="shared" ref="BY6:BY13" si="4">BV6*(BT6*2)</f>
        <v>11474.452554744525</v>
      </c>
      <c r="BZ6" s="54"/>
      <c r="CA6" s="54"/>
      <c r="CB6" s="54"/>
      <c r="CC6" s="54"/>
      <c r="CD6" s="56">
        <f>BW6+BX6+BY6+CA6+CB6+BZ6+CC6</f>
        <v>23759.12408759124</v>
      </c>
      <c r="CE6" s="57">
        <f t="shared" ref="CE6:CE30" si="5">CD6-CC6</f>
        <v>23759.12408759124</v>
      </c>
      <c r="CF6" s="54">
        <v>1400</v>
      </c>
      <c r="CG6" s="54">
        <f t="shared" ref="CG6:CG30" si="6">CD6-CF6-CC6</f>
        <v>22359.12408759124</v>
      </c>
      <c r="CH6" s="54">
        <f t="shared" ref="CH6:CH30" si="7">CG6*13%</f>
        <v>2906.6861313868612</v>
      </c>
      <c r="CI6" s="58">
        <f t="shared" ref="CI6:CI30" si="8">CD6-CH6</f>
        <v>20852.43795620438</v>
      </c>
      <c r="CJ6" s="59">
        <v>7000</v>
      </c>
      <c r="CK6" s="54"/>
      <c r="CL6" s="54">
        <f t="shared" ref="CL6:CL15" si="9">CI6-CJ6</f>
        <v>13852.43795620438</v>
      </c>
      <c r="CM6" s="60">
        <f>CE6*22%</f>
        <v>5227.007299270073</v>
      </c>
      <c r="CN6" s="61">
        <f>CE6*0.2%</f>
        <v>47.518248175182485</v>
      </c>
      <c r="CO6" s="61">
        <f>CE6*2.9%</f>
        <v>689.0145985401459</v>
      </c>
      <c r="CP6" s="61">
        <f>CE6*5.1%</f>
        <v>1211.7153284671533</v>
      </c>
    </row>
    <row r="7" ht="9.5" customHeight="1" spans="1:94" x14ac:dyDescent="0.25">
      <c r="A7" s="62">
        <v>2</v>
      </c>
      <c r="B7" s="63" t="s">
        <v>56</v>
      </c>
      <c r="C7" s="64"/>
      <c r="D7" s="65"/>
      <c r="E7" s="66"/>
      <c r="F7" s="67"/>
      <c r="G7" s="68"/>
      <c r="H7" s="65"/>
      <c r="I7" s="66"/>
      <c r="J7" s="65"/>
      <c r="K7" s="66"/>
      <c r="L7" s="67"/>
      <c r="M7" s="68"/>
      <c r="N7" s="67"/>
      <c r="O7" s="68"/>
      <c r="P7" s="65"/>
      <c r="Q7" s="66"/>
      <c r="R7" s="67"/>
      <c r="S7" s="68"/>
      <c r="T7" s="65"/>
      <c r="U7" s="66"/>
      <c r="V7" s="65"/>
      <c r="W7" s="66"/>
      <c r="X7" s="67"/>
      <c r="Y7" s="68"/>
      <c r="Z7" s="67"/>
      <c r="AA7" s="66"/>
      <c r="AB7" s="65"/>
      <c r="AC7" s="66"/>
      <c r="AD7" s="67"/>
      <c r="AE7" s="68"/>
      <c r="AF7" s="65"/>
      <c r="AG7" s="66"/>
      <c r="AH7" s="65"/>
      <c r="AI7" s="66"/>
      <c r="AJ7" s="67"/>
      <c r="AK7" s="68"/>
      <c r="AL7" s="67"/>
      <c r="AM7" s="68"/>
      <c r="AN7" s="65"/>
      <c r="AO7" s="66"/>
      <c r="AP7" s="67"/>
      <c r="AQ7" s="68"/>
      <c r="AR7" s="65"/>
      <c r="AS7" s="66"/>
      <c r="AT7" s="65"/>
      <c r="AU7" s="66"/>
      <c r="AV7" s="67"/>
      <c r="AW7" s="68"/>
      <c r="AX7" s="67"/>
      <c r="AY7" s="68"/>
      <c r="AZ7" s="65"/>
      <c r="BA7" s="66"/>
      <c r="BB7" s="67"/>
      <c r="BC7" s="68"/>
      <c r="BD7" s="65"/>
      <c r="BE7" s="66"/>
      <c r="BF7" s="65"/>
      <c r="BG7" s="66"/>
      <c r="BH7" s="67"/>
      <c r="BI7" s="68"/>
      <c r="BJ7" s="67"/>
      <c r="BK7" s="66"/>
      <c r="BL7" s="65"/>
      <c r="BM7" s="50">
        <f t="shared" ref="BM7" si="10">C7+E7+G7+I7+K7+M7+O7+Q7+S7+U7+W7+Y7+AA7+AC7+AE7+AG7+AI7+AK7+AM7+AO7+AQ7+AS7+AU7+AW7+AY7+BA7+BC7+BE7+BG7+BI7+BK7</f>
        <v>308</v>
      </c>
      <c r="BN7" s="69">
        <f t="shared" ref="BN7" si="11">D7+F7+H7+J7+L7+N7+P7+R7+T7+V7+X7+Z7+AB7+AD7+AF7+AH7+AJ7+AL7+AN7+AP7+AR7+AT7+AV7+AX7+AZ7+BB7+BD7+BF7+BH7+BJ7+BL7</f>
        <v>66</v>
      </c>
      <c r="BO7" s="51">
        <f>BM7+BN7</f>
        <v>374</v>
      </c>
      <c r="BP7" s="70">
        <v>2</v>
      </c>
      <c r="BQ7" s="71" t="s">
        <v>57</v>
      </c>
      <c r="BR7" s="54">
        <v>4500</v>
      </c>
      <c r="BS7" s="54">
        <v>164.4</v>
      </c>
      <c r="BT7" s="54">
        <f t="shared" si="0"/>
        <v>27.37226277372263</v>
      </c>
      <c r="BU7" s="54">
        <f t="shared" ref="BU7:BU8" si="12">BO7</f>
        <v>374</v>
      </c>
      <c r="BV7" s="54">
        <f t="shared" si="2"/>
        <v>209.6</v>
      </c>
      <c r="BW7" s="55">
        <f t="shared" ref="BW7:BW28" si="13">BT7*BU7</f>
        <v>10237.226277372263</v>
      </c>
      <c r="BX7" s="54">
        <f t="shared" si="3"/>
        <v>2047.4452554744528</v>
      </c>
      <c r="BY7" s="54">
        <f t="shared" si="4"/>
        <v>11474.452554744525</v>
      </c>
      <c r="BZ7" s="54"/>
      <c r="CA7" s="72"/>
      <c r="CB7" s="54"/>
      <c r="CC7" s="54"/>
      <c r="CD7" s="56">
        <f>BW7+BX7+BY7+CA7+CB7+BZ7+CC7</f>
        <v>23759.12408759124</v>
      </c>
      <c r="CE7" s="57">
        <f t="shared" si="5"/>
        <v>23759.12408759124</v>
      </c>
      <c r="CF7" s="54">
        <v>0</v>
      </c>
      <c r="CG7" s="54">
        <f t="shared" si="6"/>
        <v>23759.12408759124</v>
      </c>
      <c r="CH7" s="54">
        <f t="shared" si="7"/>
        <v>3088.6861313868612</v>
      </c>
      <c r="CI7" s="58">
        <f t="shared" si="8"/>
        <v>20670.43795620438</v>
      </c>
      <c r="CJ7" s="59">
        <v>7000</v>
      </c>
      <c r="CK7" s="54"/>
      <c r="CL7" s="54">
        <f t="shared" si="9"/>
        <v>13670.43795620438</v>
      </c>
      <c r="CM7" s="60">
        <f t="shared" ref="CM7:CM30" si="14">CE7*22%</f>
        <v>5227.007299270073</v>
      </c>
      <c r="CN7" s="61">
        <f t="shared" ref="CN7:CN30" si="15">CE7*0.2%</f>
        <v>47.518248175182485</v>
      </c>
      <c r="CO7" s="61">
        <f t="shared" ref="CO7:CO30" si="16">CE7*2.9%</f>
        <v>689.0145985401459</v>
      </c>
      <c r="CP7" s="61">
        <f t="shared" ref="CP7:CP30" si="17">CE7*5.1%</f>
        <v>1211.7153284671533</v>
      </c>
    </row>
    <row r="8" ht="10" customHeight="1" spans="1:94" x14ac:dyDescent="0.25">
      <c r="A8" s="73">
        <v>3</v>
      </c>
      <c r="B8" s="74" t="s">
        <v>58</v>
      </c>
      <c r="C8" s="75"/>
      <c r="D8" s="76"/>
      <c r="E8" s="77"/>
      <c r="F8" s="78"/>
      <c r="G8" s="75"/>
      <c r="H8" s="76"/>
      <c r="I8" s="75"/>
      <c r="J8" s="76"/>
      <c r="K8" s="77"/>
      <c r="L8" s="78"/>
      <c r="M8" s="77"/>
      <c r="N8" s="78"/>
      <c r="O8" s="75"/>
      <c r="P8" s="76"/>
      <c r="Q8" s="75"/>
      <c r="R8" s="78"/>
      <c r="S8" s="77"/>
      <c r="T8" s="76"/>
      <c r="U8" s="75"/>
      <c r="V8" s="76"/>
      <c r="W8" s="75"/>
      <c r="X8" s="78"/>
      <c r="Y8" s="77"/>
      <c r="Z8" s="78"/>
      <c r="AA8" s="75"/>
      <c r="AB8" s="76"/>
      <c r="AC8" s="75"/>
      <c r="AD8" s="78"/>
      <c r="AE8" s="77"/>
      <c r="AF8" s="76"/>
      <c r="AG8" s="75"/>
      <c r="AH8" s="76"/>
      <c r="AI8" s="75"/>
      <c r="AJ8" s="78"/>
      <c r="AK8" s="77"/>
      <c r="AL8" s="78"/>
      <c r="AM8" s="77"/>
      <c r="AN8" s="76"/>
      <c r="AO8" s="75"/>
      <c r="AP8" s="78"/>
      <c r="AQ8" s="77"/>
      <c r="AR8" s="76"/>
      <c r="AS8" s="75"/>
      <c r="AT8" s="76"/>
      <c r="AU8" s="75"/>
      <c r="AV8" s="78"/>
      <c r="AW8" s="77"/>
      <c r="AX8" s="78"/>
      <c r="AY8" s="77"/>
      <c r="AZ8" s="76"/>
      <c r="BA8" s="75"/>
      <c r="BB8" s="78"/>
      <c r="BC8" s="77"/>
      <c r="BD8" s="76"/>
      <c r="BE8" s="75"/>
      <c r="BF8" s="76"/>
      <c r="BG8" s="75"/>
      <c r="BH8" s="78"/>
      <c r="BI8" s="77"/>
      <c r="BJ8" s="78"/>
      <c r="BK8" s="75"/>
      <c r="BL8" s="79"/>
      <c r="BM8" s="69">
        <f t="shared" ref="BM8:BM30" si="18">C8+E8+G8+I8+K8+M8+O8+Q8+S8+U8+W8+Y8+AA8+AC8+AE8+AG8+AI8+AK8+AM8+AO8+AQ8+AS8+AU8+AW8+AY8+BA8+BC8+BE8+BG8+BI8+BK8</f>
        <v>374</v>
      </c>
      <c r="BN8" s="49">
        <f t="shared" ref="BN8:BN30" si="19">D8+F8+H8+J8+L8+N8+P8+R8+T8+V8+X8+Z8+AB8+AD8+AF8+AH8+AJ8+AL8+AN8+AP8+AR8+AT8+AV8+AX8+AZ8+BB8+BD8+BF8+BH8+BJ8+BL8</f>
        <v>0</v>
      </c>
      <c r="BO8" s="51">
        <f t="shared" ref="BO8:BO30" si="20">BM8+BN8</f>
        <v>374</v>
      </c>
      <c r="BP8" s="52">
        <v>3</v>
      </c>
      <c r="BQ8" s="80" t="s">
        <v>59</v>
      </c>
      <c r="BR8" s="54">
        <v>4500</v>
      </c>
      <c r="BS8" s="54">
        <v>164.4</v>
      </c>
      <c r="BT8" s="54">
        <f t="shared" si="0"/>
        <v>27.37226277372263</v>
      </c>
      <c r="BU8" s="54">
        <f t="shared" si="12"/>
        <v>374</v>
      </c>
      <c r="BV8" s="54">
        <f t="shared" si="2"/>
        <v>209.6</v>
      </c>
      <c r="BW8" s="55">
        <f t="shared" si="13"/>
        <v>10237.226277372263</v>
      </c>
      <c r="BX8" s="54">
        <f t="shared" si="3"/>
        <v>2047.4452554744528</v>
      </c>
      <c r="BY8" s="54">
        <f t="shared" si="4"/>
        <v>11474.452554744525</v>
      </c>
      <c r="BZ8" s="54"/>
      <c r="CA8" s="72"/>
      <c r="CB8" s="54"/>
      <c r="CC8" s="54"/>
      <c r="CD8" s="56">
        <f>BW8+BX8+BY8+CA8+CB8+BZ8+CC8</f>
        <v>23759.12408759124</v>
      </c>
      <c r="CE8" s="57">
        <f t="shared" si="5"/>
        <v>23759.12408759124</v>
      </c>
      <c r="CF8" s="54">
        <v>0</v>
      </c>
      <c r="CG8" s="54">
        <f t="shared" si="6"/>
        <v>23759.12408759124</v>
      </c>
      <c r="CH8" s="54">
        <f t="shared" si="7"/>
        <v>3088.6861313868612</v>
      </c>
      <c r="CI8" s="58">
        <f t="shared" si="8"/>
        <v>20670.43795620438</v>
      </c>
      <c r="CJ8" s="59">
        <v>7000</v>
      </c>
      <c r="CK8" s="54"/>
      <c r="CL8" s="54">
        <f t="shared" si="9"/>
        <v>13670.43795620438</v>
      </c>
      <c r="CM8" s="60">
        <f t="shared" si="14"/>
        <v>5227.007299270073</v>
      </c>
      <c r="CN8" s="61">
        <f t="shared" si="15"/>
        <v>47.518248175182485</v>
      </c>
      <c r="CO8" s="61">
        <f t="shared" si="16"/>
        <v>689.0145985401459</v>
      </c>
      <c r="CP8" s="61">
        <f t="shared" si="17"/>
        <v>1211.7153284671533</v>
      </c>
    </row>
    <row r="9" ht="10.25" customHeight="1" spans="1:94" x14ac:dyDescent="0.25">
      <c r="A9" s="81">
        <v>4</v>
      </c>
      <c r="B9" s="82" t="s">
        <v>60</v>
      </c>
      <c r="C9" s="83"/>
      <c r="D9" s="84"/>
      <c r="E9" s="85"/>
      <c r="F9" s="84"/>
      <c r="G9" s="85"/>
      <c r="H9" s="84"/>
      <c r="I9" s="85"/>
      <c r="J9" s="84"/>
      <c r="K9" s="85"/>
      <c r="L9" s="84"/>
      <c r="M9" s="85"/>
      <c r="N9" s="84"/>
      <c r="O9" s="85"/>
      <c r="P9" s="84"/>
      <c r="Q9" s="85"/>
      <c r="R9" s="84"/>
      <c r="S9" s="85"/>
      <c r="T9" s="84"/>
      <c r="U9" s="85"/>
      <c r="V9" s="84"/>
      <c r="W9" s="85"/>
      <c r="X9" s="84"/>
      <c r="Y9" s="85"/>
      <c r="Z9" s="84"/>
      <c r="AA9" s="85"/>
      <c r="AB9" s="84"/>
      <c r="AC9" s="85"/>
      <c r="AD9" s="84"/>
      <c r="AE9" s="85"/>
      <c r="AF9" s="84"/>
      <c r="AG9" s="85"/>
      <c r="AH9" s="84"/>
      <c r="AI9" s="85"/>
      <c r="AJ9" s="84"/>
      <c r="AK9" s="85"/>
      <c r="AL9" s="84"/>
      <c r="AM9" s="85"/>
      <c r="AN9" s="84"/>
      <c r="AO9" s="85"/>
      <c r="AP9" s="84"/>
      <c r="AQ9" s="85"/>
      <c r="AR9" s="84"/>
      <c r="AS9" s="85"/>
      <c r="AT9" s="84"/>
      <c r="AU9" s="85"/>
      <c r="AV9" s="84"/>
      <c r="AW9" s="85"/>
      <c r="AX9" s="84"/>
      <c r="AY9" s="85"/>
      <c r="AZ9" s="84"/>
      <c r="BA9" s="85"/>
      <c r="BB9" s="84"/>
      <c r="BC9" s="85"/>
      <c r="BD9" s="84"/>
      <c r="BE9" s="85"/>
      <c r="BF9" s="84"/>
      <c r="BG9" s="85"/>
      <c r="BH9" s="84"/>
      <c r="BI9" s="85"/>
      <c r="BJ9" s="84"/>
      <c r="BK9" s="85"/>
      <c r="BL9" s="86"/>
      <c r="BM9" s="87">
        <f t="shared" si="18"/>
        <v>133</v>
      </c>
      <c r="BN9" s="88">
        <f t="shared" si="19"/>
        <v>242</v>
      </c>
      <c r="BO9" s="51">
        <f t="shared" si="20"/>
        <v>375</v>
      </c>
      <c r="BP9" s="52">
        <v>4</v>
      </c>
      <c r="BQ9" s="71" t="s">
        <v>61</v>
      </c>
      <c r="BR9" s="54">
        <v>4500</v>
      </c>
      <c r="BS9" s="54">
        <v>164.4</v>
      </c>
      <c r="BT9" s="54">
        <f t="shared" si="0"/>
        <v>27.37226277372263</v>
      </c>
      <c r="BU9" s="54">
        <f>BO9</f>
        <v>375</v>
      </c>
      <c r="BV9" s="54">
        <f>BU9-BS9</f>
        <v>210.6</v>
      </c>
      <c r="BW9" s="55">
        <f>BT9*BU9</f>
        <v>10264.598540145986</v>
      </c>
      <c r="BX9" s="54">
        <f>BW9*20%</f>
        <v>2052.9197080291974</v>
      </c>
      <c r="BY9" s="54">
        <f>BV9*(BT9*2)</f>
        <v>11529.197080291971</v>
      </c>
      <c r="BZ9" s="54"/>
      <c r="CA9" s="55"/>
      <c r="CB9" s="54"/>
      <c r="CC9" s="54"/>
      <c r="CD9" s="56">
        <f>BW9+BX9+BY9+CA9+CB9+BZ9+CC9</f>
        <v>23846.715328467155</v>
      </c>
      <c r="CE9" s="57">
        <f t="shared" si="5"/>
        <v>23846.715328467155</v>
      </c>
      <c r="CF9" s="54">
        <v>0</v>
      </c>
      <c r="CG9" s="54">
        <f t="shared" si="6"/>
        <v>23846.715328467155</v>
      </c>
      <c r="CH9" s="54">
        <f t="shared" si="7"/>
        <v>3100.07299270073</v>
      </c>
      <c r="CI9" s="58">
        <f t="shared" si="8"/>
        <v>20746.642335766424</v>
      </c>
      <c r="CJ9" s="59">
        <v>7000</v>
      </c>
      <c r="CK9" s="54"/>
      <c r="CL9" s="54">
        <f t="shared" si="9"/>
        <v>13746.642335766424</v>
      </c>
      <c r="CM9" s="60">
        <f t="shared" si="14"/>
        <v>5246.277372262774</v>
      </c>
      <c r="CN9" s="61">
        <f t="shared" si="15"/>
        <v>47.69343065693431</v>
      </c>
      <c r="CO9" s="61">
        <f t="shared" si="16"/>
        <v>691.5547445255474</v>
      </c>
      <c r="CP9" s="61">
        <f t="shared" si="17"/>
        <v>1216.1824817518248</v>
      </c>
    </row>
    <row r="10" ht="10.25" customHeight="1" spans="1:94" x14ac:dyDescent="0.25">
      <c r="A10" s="89">
        <v>5</v>
      </c>
      <c r="B10" s="90" t="s">
        <v>62</v>
      </c>
      <c r="C10" s="91"/>
      <c r="D10" s="92"/>
      <c r="E10" s="93"/>
      <c r="F10" s="92"/>
      <c r="G10" s="93"/>
      <c r="H10" s="92"/>
      <c r="I10" s="93"/>
      <c r="J10" s="92"/>
      <c r="K10" s="93"/>
      <c r="L10" s="92"/>
      <c r="M10" s="93"/>
      <c r="N10" s="92"/>
      <c r="O10" s="93"/>
      <c r="P10" s="92"/>
      <c r="Q10" s="93"/>
      <c r="R10" s="92"/>
      <c r="S10" s="93"/>
      <c r="T10" s="92"/>
      <c r="U10" s="93"/>
      <c r="V10" s="92"/>
      <c r="W10" s="93"/>
      <c r="X10" s="92"/>
      <c r="Y10" s="93"/>
      <c r="Z10" s="92"/>
      <c r="AA10" s="93"/>
      <c r="AB10" s="92"/>
      <c r="AC10" s="93"/>
      <c r="AD10" s="92"/>
      <c r="AE10" s="93"/>
      <c r="AF10" s="92"/>
      <c r="AG10" s="93"/>
      <c r="AH10" s="92"/>
      <c r="AI10" s="93"/>
      <c r="AJ10" s="92"/>
      <c r="AK10" s="93"/>
      <c r="AL10" s="92"/>
      <c r="AM10" s="93"/>
      <c r="AN10" s="92"/>
      <c r="AO10" s="93"/>
      <c r="AP10" s="92"/>
      <c r="AQ10" s="93"/>
      <c r="AR10" s="92"/>
      <c r="AS10" s="93"/>
      <c r="AT10" s="92"/>
      <c r="AU10" s="93"/>
      <c r="AV10" s="92"/>
      <c r="AW10" s="93"/>
      <c r="AX10" s="92"/>
      <c r="AY10" s="93"/>
      <c r="AZ10" s="92"/>
      <c r="BA10" s="93"/>
      <c r="BB10" s="92"/>
      <c r="BC10" s="93"/>
      <c r="BD10" s="92"/>
      <c r="BE10" s="93"/>
      <c r="BF10" s="92"/>
      <c r="BG10" s="93"/>
      <c r="BH10" s="92"/>
      <c r="BI10" s="93"/>
      <c r="BJ10" s="92"/>
      <c r="BK10" s="93"/>
      <c r="BL10" s="93"/>
      <c r="BM10" s="94">
        <f t="shared" si="18"/>
        <v>0</v>
      </c>
      <c r="BN10" s="94">
        <f t="shared" si="19"/>
        <v>0</v>
      </c>
      <c r="BO10" s="95">
        <f t="shared" si="20"/>
        <v>0</v>
      </c>
      <c r="BP10" s="96">
        <v>5</v>
      </c>
      <c r="BQ10" s="97" t="s">
        <v>63</v>
      </c>
      <c r="BR10" s="98">
        <v>4500</v>
      </c>
      <c r="BS10" s="98">
        <v>164.4</v>
      </c>
      <c r="BT10" s="98">
        <f t="shared" si="0"/>
        <v>27.37226277372263</v>
      </c>
      <c r="BU10" s="98">
        <f>BO10</f>
        <v>0</v>
      </c>
      <c r="BV10" s="98">
        <v>0</v>
      </c>
      <c r="BW10" s="99">
        <f t="shared" si="13"/>
        <v>0</v>
      </c>
      <c r="BX10" s="98">
        <f t="shared" si="3"/>
        <v>0</v>
      </c>
      <c r="BY10" s="98">
        <f t="shared" si="4"/>
        <v>0</v>
      </c>
      <c r="BZ10" s="98"/>
      <c r="CA10" s="99"/>
      <c r="CB10" s="98">
        <v>22240.12</v>
      </c>
      <c r="CC10" s="98"/>
      <c r="CD10" s="100">
        <f t="shared" ref="CD10:CD30" si="21">BW10+BX10+BY10+CA10+CB10+BZ10+CC10</f>
        <v>22240.12</v>
      </c>
      <c r="CE10" s="101">
        <f t="shared" si="5"/>
        <v>22240.12</v>
      </c>
      <c r="CF10" s="98">
        <v>0</v>
      </c>
      <c r="CG10" s="98">
        <f t="shared" si="6"/>
        <v>22240.12</v>
      </c>
      <c r="CH10" s="98">
        <f t="shared" si="7"/>
        <v>2891.2156</v>
      </c>
      <c r="CI10" s="102">
        <f t="shared" si="8"/>
        <v>19348.9044</v>
      </c>
      <c r="CJ10" s="103">
        <v>7000</v>
      </c>
      <c r="CK10" s="98"/>
      <c r="CL10" s="98">
        <f t="shared" si="9"/>
        <v>12348.9044</v>
      </c>
      <c r="CM10" s="60">
        <f t="shared" si="14"/>
        <v>4892.8264</v>
      </c>
      <c r="CN10" s="61">
        <f t="shared" si="15"/>
        <v>44.48024</v>
      </c>
      <c r="CO10" s="61">
        <f t="shared" si="16"/>
        <v>644.9634799999999</v>
      </c>
      <c r="CP10" s="61">
        <f t="shared" si="17"/>
        <v>1134.2461199999998</v>
      </c>
    </row>
    <row r="11" ht="10.25" customHeight="1" spans="1:94" x14ac:dyDescent="0.25">
      <c r="A11" s="89">
        <v>6</v>
      </c>
      <c r="B11" s="90" t="s">
        <v>64</v>
      </c>
      <c r="C11" s="104"/>
      <c r="D11" s="93"/>
      <c r="E11" s="93"/>
      <c r="F11" s="93"/>
      <c r="G11" s="104"/>
      <c r="H11" s="93"/>
      <c r="I11" s="104"/>
      <c r="J11" s="93"/>
      <c r="K11" s="104"/>
      <c r="L11" s="93"/>
      <c r="M11" s="104"/>
      <c r="N11" s="93"/>
      <c r="O11" s="104"/>
      <c r="P11" s="93"/>
      <c r="Q11" s="104"/>
      <c r="R11" s="93"/>
      <c r="S11" s="104"/>
      <c r="T11" s="93"/>
      <c r="U11" s="104"/>
      <c r="V11" s="93"/>
      <c r="W11" s="104"/>
      <c r="X11" s="93"/>
      <c r="Y11" s="104"/>
      <c r="Z11" s="93"/>
      <c r="AA11" s="104"/>
      <c r="AB11" s="93"/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3"/>
      <c r="AN11" s="93"/>
      <c r="AO11" s="93"/>
      <c r="AP11" s="93"/>
      <c r="AQ11" s="93"/>
      <c r="AR11" s="93"/>
      <c r="AS11" s="93"/>
      <c r="AT11" s="92"/>
      <c r="AU11" s="93"/>
      <c r="AV11" s="92"/>
      <c r="AW11" s="93"/>
      <c r="AX11" s="92"/>
      <c r="AY11" s="93"/>
      <c r="AZ11" s="105"/>
      <c r="BA11" s="105"/>
      <c r="BB11" s="106"/>
      <c r="BC11" s="106"/>
      <c r="BD11" s="105"/>
      <c r="BE11" s="105"/>
      <c r="BF11" s="105"/>
      <c r="BG11" s="105"/>
      <c r="BH11" s="106"/>
      <c r="BI11" s="106"/>
      <c r="BJ11" s="106"/>
      <c r="BK11" s="105"/>
      <c r="BL11" s="107"/>
      <c r="BM11" s="94">
        <f t="shared" si="18"/>
        <v>0</v>
      </c>
      <c r="BN11" s="94">
        <f t="shared" si="19"/>
        <v>0</v>
      </c>
      <c r="BO11" s="95">
        <f t="shared" si="20"/>
        <v>0</v>
      </c>
      <c r="BP11" s="96">
        <v>6</v>
      </c>
      <c r="BQ11" s="97" t="s">
        <v>65</v>
      </c>
      <c r="BR11" s="98">
        <v>4500</v>
      </c>
      <c r="BS11" s="98">
        <v>164.4</v>
      </c>
      <c r="BT11" s="98">
        <f t="shared" ref="BT11" si="22">BR11/BS11</f>
        <v>27.37226277372263</v>
      </c>
      <c r="BU11" s="98">
        <f>BO11</f>
        <v>0</v>
      </c>
      <c r="BV11" s="98">
        <v>0</v>
      </c>
      <c r="BW11" s="99">
        <f t="shared" ref="BW11" si="23">BT11*BU11</f>
        <v>0</v>
      </c>
      <c r="BX11" s="98">
        <f t="shared" ref="BX11" si="24">BW11*20%</f>
        <v>0</v>
      </c>
      <c r="BY11" s="98">
        <f>BV11*(BT11*2)</f>
        <v>0</v>
      </c>
      <c r="BZ11" s="98"/>
      <c r="CA11" s="99"/>
      <c r="CB11" s="98">
        <v>20492.92</v>
      </c>
      <c r="CC11" s="98"/>
      <c r="CD11" s="100">
        <f t="shared" ref="CD11" si="25">BW11+BX11+BY11+CA11+CB11+BZ11+CC11</f>
        <v>20492.92</v>
      </c>
      <c r="CE11" s="101">
        <f t="shared" si="5"/>
        <v>20492.92</v>
      </c>
      <c r="CF11" s="98">
        <v>0</v>
      </c>
      <c r="CG11" s="98">
        <f t="shared" si="6"/>
        <v>20492.92</v>
      </c>
      <c r="CH11" s="98">
        <f t="shared" si="7"/>
        <v>2664.0796</v>
      </c>
      <c r="CI11" s="102">
        <f t="shared" si="8"/>
        <v>17828.840399999997</v>
      </c>
      <c r="CJ11" s="103">
        <v>0</v>
      </c>
      <c r="CK11" s="98"/>
      <c r="CL11" s="98">
        <f t="shared" ref="CL11" si="26">CI11-CJ11</f>
        <v>17828.840399999997</v>
      </c>
      <c r="CM11" s="60">
        <f t="shared" si="14"/>
        <v>4508.4424</v>
      </c>
      <c r="CN11" s="61">
        <f t="shared" si="15"/>
        <v>40.985839999999996</v>
      </c>
      <c r="CO11" s="61">
        <f t="shared" si="16"/>
        <v>594.2946799999999</v>
      </c>
      <c r="CP11" s="61">
        <f t="shared" si="17"/>
        <v>1045.1389199999999</v>
      </c>
    </row>
    <row r="12" ht="10.75" customHeight="1" spans="1:94" x14ac:dyDescent="0.25">
      <c r="A12" s="81">
        <v>7</v>
      </c>
      <c r="B12" s="108" t="s">
        <v>66</v>
      </c>
      <c r="C12" s="109"/>
      <c r="D12" s="110"/>
      <c r="E12" s="111"/>
      <c r="F12" s="110"/>
      <c r="G12" s="111"/>
      <c r="H12" s="110"/>
      <c r="I12" s="111"/>
      <c r="J12" s="110"/>
      <c r="K12" s="111"/>
      <c r="L12" s="110"/>
      <c r="M12" s="111"/>
      <c r="N12" s="110"/>
      <c r="O12" s="111"/>
      <c r="P12" s="110"/>
      <c r="Q12" s="111"/>
      <c r="R12" s="110"/>
      <c r="S12" s="111"/>
      <c r="T12" s="110"/>
      <c r="U12" s="111"/>
      <c r="V12" s="110"/>
      <c r="W12" s="111"/>
      <c r="X12" s="110"/>
      <c r="Y12" s="111"/>
      <c r="Z12" s="110"/>
      <c r="AA12" s="111"/>
      <c r="AB12" s="110"/>
      <c r="AC12" s="111"/>
      <c r="AD12" s="110"/>
      <c r="AE12" s="111"/>
      <c r="AF12" s="110"/>
      <c r="AG12" s="111"/>
      <c r="AH12" s="110"/>
      <c r="AI12" s="111"/>
      <c r="AJ12" s="110"/>
      <c r="AK12" s="111"/>
      <c r="AL12" s="110"/>
      <c r="AM12" s="111"/>
      <c r="AN12" s="110"/>
      <c r="AO12" s="111"/>
      <c r="AP12" s="110"/>
      <c r="AQ12" s="111"/>
      <c r="AR12" s="110"/>
      <c r="AS12" s="111"/>
      <c r="AT12" s="110"/>
      <c r="AU12" s="111"/>
      <c r="AV12" s="110"/>
      <c r="AW12" s="111"/>
      <c r="AX12" s="110"/>
      <c r="AY12" s="111"/>
      <c r="AZ12" s="110"/>
      <c r="BA12" s="111"/>
      <c r="BB12" s="110"/>
      <c r="BC12" s="111"/>
      <c r="BD12" s="110"/>
      <c r="BE12" s="111"/>
      <c r="BF12" s="110"/>
      <c r="BG12" s="111"/>
      <c r="BH12" s="110"/>
      <c r="BI12" s="111"/>
      <c r="BJ12" s="110"/>
      <c r="BK12" s="111"/>
      <c r="BL12" s="112"/>
      <c r="BM12" s="113">
        <f t="shared" si="18"/>
        <v>343</v>
      </c>
      <c r="BN12" s="114">
        <f t="shared" si="19"/>
        <v>31</v>
      </c>
      <c r="BO12" s="51">
        <f t="shared" si="20"/>
        <v>374</v>
      </c>
      <c r="BP12" s="52">
        <v>7</v>
      </c>
      <c r="BQ12" s="71" t="s">
        <v>67</v>
      </c>
      <c r="BR12" s="54">
        <v>4500</v>
      </c>
      <c r="BS12" s="54">
        <v>164.4</v>
      </c>
      <c r="BT12" s="54">
        <f t="shared" si="0"/>
        <v>27.37226277372263</v>
      </c>
      <c r="BU12" s="54">
        <f>BO12</f>
        <v>374</v>
      </c>
      <c r="BV12" s="54">
        <f t="shared" si="2"/>
        <v>209.6</v>
      </c>
      <c r="BW12" s="55">
        <f t="shared" si="13"/>
        <v>10237.226277372263</v>
      </c>
      <c r="BX12" s="54">
        <f t="shared" si="3"/>
        <v>2047.4452554744528</v>
      </c>
      <c r="BY12" s="54">
        <f t="shared" si="4"/>
        <v>11474.452554744525</v>
      </c>
      <c r="BZ12" s="54"/>
      <c r="CA12" s="54"/>
      <c r="CB12" s="54"/>
      <c r="CC12" s="54"/>
      <c r="CD12" s="56">
        <f>BW12+BX12+BY12+CA12+CB12+BZ12+CC12</f>
        <v>23759.12408759124</v>
      </c>
      <c r="CE12" s="57">
        <f t="shared" si="5"/>
        <v>23759.12408759124</v>
      </c>
      <c r="CF12" s="54">
        <v>0</v>
      </c>
      <c r="CG12" s="54">
        <f t="shared" si="6"/>
        <v>23759.12408759124</v>
      </c>
      <c r="CH12" s="54">
        <f t="shared" si="7"/>
        <v>3088.6861313868612</v>
      </c>
      <c r="CI12" s="58">
        <f t="shared" si="8"/>
        <v>20670.43795620438</v>
      </c>
      <c r="CJ12" s="59">
        <v>7000</v>
      </c>
      <c r="CK12" s="54"/>
      <c r="CL12" s="54">
        <f>CI12-CJ12</f>
        <v>13670.43795620438</v>
      </c>
      <c r="CM12" s="60">
        <f t="shared" si="14"/>
        <v>5227.007299270073</v>
      </c>
      <c r="CN12" s="61">
        <f t="shared" si="15"/>
        <v>47.518248175182485</v>
      </c>
      <c r="CO12" s="61">
        <f t="shared" si="16"/>
        <v>689.0145985401459</v>
      </c>
      <c r="CP12" s="61">
        <f t="shared" si="17"/>
        <v>1211.7153284671533</v>
      </c>
    </row>
    <row r="13" ht="10" customHeight="1" spans="1:96" x14ac:dyDescent="0.25">
      <c r="A13" s="115">
        <v>8</v>
      </c>
      <c r="B13" s="63" t="s">
        <v>68</v>
      </c>
      <c r="C13" s="116"/>
      <c r="D13" s="20"/>
      <c r="E13" s="20"/>
      <c r="F13" s="20"/>
      <c r="G13" s="116"/>
      <c r="H13" s="20"/>
      <c r="I13" s="116"/>
      <c r="J13" s="20"/>
      <c r="K13" s="116"/>
      <c r="L13" s="20"/>
      <c r="M13" s="116"/>
      <c r="N13" s="20"/>
      <c r="O13" s="116"/>
      <c r="P13" s="20"/>
      <c r="Q13" s="116"/>
      <c r="R13" s="20"/>
      <c r="S13" s="116"/>
      <c r="T13" s="20"/>
      <c r="U13" s="116"/>
      <c r="V13" s="20"/>
      <c r="W13" s="116"/>
      <c r="X13" s="20"/>
      <c r="Y13" s="116"/>
      <c r="Z13" s="20"/>
      <c r="AA13" s="116"/>
      <c r="AB13" s="20"/>
      <c r="AC13" s="116"/>
      <c r="AD13" s="20"/>
      <c r="AE13" s="116"/>
      <c r="AF13" s="20"/>
      <c r="AG13" s="116"/>
      <c r="AH13" s="20"/>
      <c r="AI13" s="116"/>
      <c r="AJ13" s="20"/>
      <c r="AK13" s="116"/>
      <c r="AL13" s="20"/>
      <c r="AM13" s="116"/>
      <c r="AN13" s="20"/>
      <c r="AO13" s="116"/>
      <c r="AP13" s="20"/>
      <c r="AQ13" s="116"/>
      <c r="AR13" s="20"/>
      <c r="AS13" s="116"/>
      <c r="AT13" s="20"/>
      <c r="AU13" s="116"/>
      <c r="AV13" s="20"/>
      <c r="AW13" s="116"/>
      <c r="AX13" s="20"/>
      <c r="AY13" s="116"/>
      <c r="AZ13" s="20"/>
      <c r="BA13" s="116"/>
      <c r="BB13" s="117"/>
      <c r="BC13" s="116"/>
      <c r="BD13" s="20"/>
      <c r="BE13" s="116"/>
      <c r="BF13" s="20"/>
      <c r="BG13" s="116"/>
      <c r="BH13" s="20"/>
      <c r="BI13" s="116"/>
      <c r="BJ13" s="20"/>
      <c r="BK13" s="116"/>
      <c r="BL13" s="118"/>
      <c r="BM13" s="49">
        <f t="shared" si="18"/>
        <v>0</v>
      </c>
      <c r="BN13" s="49">
        <f t="shared" si="19"/>
        <v>0</v>
      </c>
      <c r="BO13" s="119">
        <f t="shared" si="20"/>
        <v>0</v>
      </c>
      <c r="BP13" s="120">
        <v>8</v>
      </c>
      <c r="BQ13" s="121" t="s">
        <v>69</v>
      </c>
      <c r="BR13" s="54">
        <v>4500</v>
      </c>
      <c r="BS13" s="54">
        <v>164.4</v>
      </c>
      <c r="BT13" s="54">
        <f t="shared" si="0"/>
        <v>27.37226277372263</v>
      </c>
      <c r="BU13" s="54">
        <f>BO13</f>
        <v>0</v>
      </c>
      <c r="BV13" s="54">
        <f t="shared" si="2"/>
        <v>-164.4</v>
      </c>
      <c r="BW13" s="55">
        <f t="shared" si="13"/>
        <v>0</v>
      </c>
      <c r="BX13" s="54">
        <f t="shared" si="3"/>
        <v>0</v>
      </c>
      <c r="BY13" s="54">
        <f t="shared" si="4"/>
        <v>-9000</v>
      </c>
      <c r="BZ13" s="54"/>
      <c r="CA13" s="54"/>
      <c r="CB13" s="54"/>
      <c r="CC13" s="54"/>
      <c r="CD13" s="56">
        <f>BW13+BX13+BY13+CA13+CB13+BZ13+CC13</f>
        <v>-9000</v>
      </c>
      <c r="CE13" s="57">
        <f t="shared" si="5"/>
        <v>-9000</v>
      </c>
      <c r="CF13" s="54">
        <v>0</v>
      </c>
      <c r="CG13" s="54">
        <f t="shared" si="6"/>
        <v>-9000</v>
      </c>
      <c r="CH13" s="54">
        <f t="shared" si="7"/>
        <v>-1170</v>
      </c>
      <c r="CI13" s="58">
        <f t="shared" si="8"/>
        <v>-7830</v>
      </c>
      <c r="CJ13" s="59">
        <v>0</v>
      </c>
      <c r="CK13" s="54"/>
      <c r="CL13" s="54">
        <f t="shared" si="9"/>
        <v>-7830</v>
      </c>
      <c r="CM13" s="60">
        <f t="shared" si="14"/>
        <v>-1980</v>
      </c>
      <c r="CN13" s="61">
        <f t="shared" si="15"/>
        <v>-18</v>
      </c>
      <c r="CO13" s="61">
        <f t="shared" si="16"/>
        <v>-261</v>
      </c>
      <c r="CP13" s="61">
        <f t="shared" si="17"/>
        <v>-458.99999999999994</v>
      </c>
      <c r="CQ13" s="122">
        <f>CI31</f>
        <v>318246.6206729927</v>
      </c>
      <c r="CR13" s="123" t="s">
        <v>70</v>
      </c>
    </row>
    <row r="14" ht="9" customHeight="1" spans="1:96" x14ac:dyDescent="0.25">
      <c r="A14" s="81">
        <v>9</v>
      </c>
      <c r="B14" s="74" t="s">
        <v>71</v>
      </c>
      <c r="C14" s="124"/>
      <c r="D14" s="125"/>
      <c r="E14" s="126"/>
      <c r="F14" s="127"/>
      <c r="G14" s="128"/>
      <c r="H14" s="125"/>
      <c r="I14" s="126"/>
      <c r="J14" s="125"/>
      <c r="K14" s="126"/>
      <c r="L14" s="127"/>
      <c r="M14" s="128"/>
      <c r="N14" s="127"/>
      <c r="O14" s="128"/>
      <c r="P14" s="125"/>
      <c r="Q14" s="126"/>
      <c r="R14" s="127"/>
      <c r="S14" s="128"/>
      <c r="T14" s="125"/>
      <c r="U14" s="126"/>
      <c r="V14" s="125"/>
      <c r="W14" s="126"/>
      <c r="X14" s="127"/>
      <c r="Y14" s="128"/>
      <c r="Z14" s="127"/>
      <c r="AA14" s="126"/>
      <c r="AB14" s="125"/>
      <c r="AC14" s="126"/>
      <c r="AD14" s="127"/>
      <c r="AE14" s="128"/>
      <c r="AF14" s="125"/>
      <c r="AG14" s="126"/>
      <c r="AH14" s="125"/>
      <c r="AI14" s="126"/>
      <c r="AJ14" s="127"/>
      <c r="AK14" s="128"/>
      <c r="AL14" s="127"/>
      <c r="AM14" s="128"/>
      <c r="AN14" s="125"/>
      <c r="AO14" s="126"/>
      <c r="AP14" s="127"/>
      <c r="AQ14" s="128"/>
      <c r="AR14" s="125"/>
      <c r="AS14" s="126"/>
      <c r="AT14" s="125"/>
      <c r="AU14" s="126"/>
      <c r="AV14" s="127"/>
      <c r="AW14" s="128"/>
      <c r="AX14" s="127"/>
      <c r="AY14" s="128"/>
      <c r="AZ14" s="125"/>
      <c r="BA14" s="126"/>
      <c r="BB14" s="127"/>
      <c r="BC14" s="128"/>
      <c r="BD14" s="125"/>
      <c r="BE14" s="126"/>
      <c r="BF14" s="125"/>
      <c r="BG14" s="126"/>
      <c r="BH14" s="127"/>
      <c r="BI14" s="128"/>
      <c r="BJ14" s="127"/>
      <c r="BK14" s="126"/>
      <c r="BL14" s="125"/>
      <c r="BM14" s="114">
        <f t="shared" si="18"/>
        <v>226</v>
      </c>
      <c r="BN14" s="113">
        <f t="shared" si="19"/>
        <v>102</v>
      </c>
      <c r="BO14" s="51">
        <f t="shared" si="20"/>
        <v>328</v>
      </c>
      <c r="BP14" s="52">
        <v>9</v>
      </c>
      <c r="BQ14" s="129" t="s">
        <v>72</v>
      </c>
      <c r="BR14" s="54">
        <v>4500</v>
      </c>
      <c r="BS14" s="54">
        <v>164.4</v>
      </c>
      <c r="BT14" s="54">
        <f t="shared" si="0"/>
        <v>27.37226277372263</v>
      </c>
      <c r="BU14" s="54">
        <f>BO14</f>
        <v>328</v>
      </c>
      <c r="BV14" s="54">
        <f t="shared" si="2"/>
        <v>163.6</v>
      </c>
      <c r="BW14" s="55">
        <f t="shared" si="13"/>
        <v>8978.102189781022</v>
      </c>
      <c r="BX14" s="54">
        <f t="shared" si="3"/>
        <v>1795.6204379562046</v>
      </c>
      <c r="BY14" s="54">
        <f t="shared" ref="BY14:BY15" si="27">BV14*(BT14*2)</f>
        <v>8956.204379562043</v>
      </c>
      <c r="BZ14" s="54"/>
      <c r="CA14" s="54"/>
      <c r="CB14" s="54"/>
      <c r="CC14" s="54"/>
      <c r="CD14" s="56">
        <f t="shared" si="21"/>
        <v>19729.92700729927</v>
      </c>
      <c r="CE14" s="57">
        <f t="shared" si="5"/>
        <v>19729.92700729927</v>
      </c>
      <c r="CF14" s="54">
        <v>1400</v>
      </c>
      <c r="CG14" s="54">
        <f t="shared" si="6"/>
        <v>18329.92700729927</v>
      </c>
      <c r="CH14" s="54">
        <f t="shared" si="7"/>
        <v>2382.890510948905</v>
      </c>
      <c r="CI14" s="58">
        <f t="shared" si="8"/>
        <v>17347.036496350363</v>
      </c>
      <c r="CJ14" s="59">
        <v>7000</v>
      </c>
      <c r="CK14" s="54"/>
      <c r="CL14" s="54">
        <f t="shared" si="9"/>
        <v>10347.036496350363</v>
      </c>
      <c r="CM14" s="60">
        <f t="shared" si="14"/>
        <v>4340.58394160584</v>
      </c>
      <c r="CN14" s="61">
        <f t="shared" si="15"/>
        <v>39.45985401459854</v>
      </c>
      <c r="CO14" s="61">
        <f t="shared" si="16"/>
        <v>572.1678832116788</v>
      </c>
      <c r="CP14" s="61">
        <f t="shared" si="17"/>
        <v>1006.2262773722626</v>
      </c>
      <c r="CQ14" s="130"/>
      <c r="CR14" s="123"/>
    </row>
    <row r="15" ht="9.5" customHeight="1" spans="1:96" x14ac:dyDescent="0.25">
      <c r="A15" s="81">
        <v>10</v>
      </c>
      <c r="B15" s="82" t="s">
        <v>73</v>
      </c>
      <c r="C15" s="116"/>
      <c r="D15" s="20"/>
      <c r="E15" s="20"/>
      <c r="F15" s="20"/>
      <c r="G15" s="116"/>
      <c r="H15" s="20"/>
      <c r="I15" s="116"/>
      <c r="J15" s="20"/>
      <c r="K15" s="116"/>
      <c r="L15" s="20"/>
      <c r="M15" s="116"/>
      <c r="N15" s="20"/>
      <c r="O15" s="116"/>
      <c r="P15" s="20"/>
      <c r="Q15" s="116"/>
      <c r="R15" s="20"/>
      <c r="S15" s="116"/>
      <c r="T15" s="20"/>
      <c r="U15" s="116"/>
      <c r="V15" s="20"/>
      <c r="W15" s="116"/>
      <c r="X15" s="20"/>
      <c r="Y15" s="116"/>
      <c r="Z15" s="20"/>
      <c r="AA15" s="116"/>
      <c r="AB15" s="20"/>
      <c r="AC15" s="116"/>
      <c r="AD15" s="20"/>
      <c r="AE15" s="116"/>
      <c r="AF15" s="20"/>
      <c r="AG15" s="116"/>
      <c r="AH15" s="20"/>
      <c r="AI15" s="116"/>
      <c r="AJ15" s="20"/>
      <c r="AK15" s="116"/>
      <c r="AL15" s="20"/>
      <c r="AM15" s="116"/>
      <c r="AN15" s="20"/>
      <c r="AO15" s="116"/>
      <c r="AP15" s="20"/>
      <c r="AQ15" s="116"/>
      <c r="AR15" s="20"/>
      <c r="AS15" s="116"/>
      <c r="AT15" s="20"/>
      <c r="AU15" s="116"/>
      <c r="AV15" s="20"/>
      <c r="AW15" s="116"/>
      <c r="AX15" s="20"/>
      <c r="AY15" s="116"/>
      <c r="AZ15" s="20"/>
      <c r="BA15" s="116"/>
      <c r="BB15" s="117"/>
      <c r="BC15" s="116"/>
      <c r="BD15" s="20"/>
      <c r="BE15" s="116"/>
      <c r="BF15" s="20"/>
      <c r="BG15" s="116"/>
      <c r="BH15" s="20"/>
      <c r="BI15" s="116"/>
      <c r="BJ15" s="20"/>
      <c r="BK15" s="116"/>
      <c r="BL15" s="118"/>
      <c r="BM15" s="49">
        <f t="shared" si="18"/>
        <v>0</v>
      </c>
      <c r="BN15" s="49">
        <f t="shared" si="19"/>
        <v>0</v>
      </c>
      <c r="BO15" s="119">
        <f t="shared" si="20"/>
        <v>0</v>
      </c>
      <c r="BP15" s="52">
        <v>10</v>
      </c>
      <c r="BQ15" s="121" t="s">
        <v>74</v>
      </c>
      <c r="BR15" s="54">
        <v>4500</v>
      </c>
      <c r="BS15" s="54">
        <v>164.4</v>
      </c>
      <c r="BT15" s="54">
        <f t="shared" si="0"/>
        <v>27.37226277372263</v>
      </c>
      <c r="BU15" s="54">
        <f>BO15</f>
        <v>0</v>
      </c>
      <c r="BV15" s="54">
        <f t="shared" si="2"/>
        <v>-164.4</v>
      </c>
      <c r="BW15" s="55">
        <f>BT15*BU15</f>
        <v>0</v>
      </c>
      <c r="BX15" s="54">
        <f t="shared" si="3"/>
        <v>0</v>
      </c>
      <c r="BY15" s="54">
        <f t="shared" si="27"/>
        <v>-9000</v>
      </c>
      <c r="BZ15" s="54"/>
      <c r="CA15" s="54"/>
      <c r="CB15" s="54"/>
      <c r="CC15" s="54"/>
      <c r="CD15" s="56">
        <f t="shared" si="21"/>
        <v>-9000</v>
      </c>
      <c r="CE15" s="57">
        <f t="shared" si="5"/>
        <v>-9000</v>
      </c>
      <c r="CF15" s="54">
        <v>0</v>
      </c>
      <c r="CG15" s="54">
        <f t="shared" si="6"/>
        <v>-9000</v>
      </c>
      <c r="CH15" s="54">
        <f t="shared" si="7"/>
        <v>-1170</v>
      </c>
      <c r="CI15" s="58">
        <f t="shared" si="8"/>
        <v>-7830</v>
      </c>
      <c r="CJ15" s="59">
        <v>0</v>
      </c>
      <c r="CK15" s="54"/>
      <c r="CL15" s="54">
        <f t="shared" si="9"/>
        <v>-7830</v>
      </c>
      <c r="CM15" s="60">
        <f t="shared" si="14"/>
        <v>-1980</v>
      </c>
      <c r="CN15" s="61">
        <f t="shared" si="15"/>
        <v>-18</v>
      </c>
      <c r="CO15" s="61">
        <f t="shared" si="16"/>
        <v>-261</v>
      </c>
      <c r="CP15" s="61">
        <f t="shared" si="17"/>
        <v>-458.99999999999994</v>
      </c>
      <c r="CQ15" s="131">
        <f>CJ6+CJ7+CJ8+CJ9+CJ10+CJ11+CJ12+CJ13+CJ14+CJ15+CJ21+CJ22+CJ23+CJ25+CJ30+CJ18+CJ24</f>
        <v>77000</v>
      </c>
      <c r="CR15" s="132" t="s">
        <v>75</v>
      </c>
    </row>
    <row r="16" ht="9" customHeight="1" spans="1:96" x14ac:dyDescent="0.25">
      <c r="A16" s="81">
        <v>11</v>
      </c>
      <c r="B16" s="133" t="s">
        <v>76</v>
      </c>
      <c r="C16" s="134"/>
      <c r="D16" s="135"/>
      <c r="E16" s="136"/>
      <c r="F16" s="135"/>
      <c r="G16" s="134"/>
      <c r="H16" s="135"/>
      <c r="I16" s="137"/>
      <c r="J16" s="135"/>
      <c r="K16" s="134"/>
      <c r="L16" s="135"/>
      <c r="M16" s="137"/>
      <c r="N16" s="135"/>
      <c r="O16" s="134"/>
      <c r="P16" s="135"/>
      <c r="Q16" s="137"/>
      <c r="R16" s="135"/>
      <c r="S16" s="134"/>
      <c r="T16" s="135"/>
      <c r="U16" s="137"/>
      <c r="V16" s="135"/>
      <c r="W16" s="134"/>
      <c r="X16" s="135"/>
      <c r="Y16" s="137"/>
      <c r="Z16" s="135"/>
      <c r="AA16" s="134"/>
      <c r="AB16" s="135"/>
      <c r="AC16" s="137"/>
      <c r="AD16" s="135"/>
      <c r="AE16" s="134"/>
      <c r="AF16" s="135"/>
      <c r="AG16" s="137"/>
      <c r="AH16" s="135"/>
      <c r="AI16" s="134"/>
      <c r="AJ16" s="135"/>
      <c r="AK16" s="137"/>
      <c r="AL16" s="135"/>
      <c r="AM16" s="134"/>
      <c r="AN16" s="135"/>
      <c r="AO16" s="137"/>
      <c r="AP16" s="135"/>
      <c r="AQ16" s="134"/>
      <c r="AR16" s="135"/>
      <c r="AS16" s="137"/>
      <c r="AT16" s="135"/>
      <c r="AU16" s="134"/>
      <c r="AV16" s="135"/>
      <c r="AW16" s="137"/>
      <c r="AX16" s="135"/>
      <c r="AY16" s="134"/>
      <c r="AZ16" s="135"/>
      <c r="BA16" s="137"/>
      <c r="BB16" s="135"/>
      <c r="BC16" s="134"/>
      <c r="BD16" s="135"/>
      <c r="BE16" s="137"/>
      <c r="BF16" s="135"/>
      <c r="BG16" s="134"/>
      <c r="BH16" s="135"/>
      <c r="BI16" s="137"/>
      <c r="BJ16" s="135"/>
      <c r="BK16" s="134"/>
      <c r="BL16" s="138"/>
      <c r="BM16" s="139">
        <f t="shared" si="18"/>
        <v>341</v>
      </c>
      <c r="BN16" s="140">
        <f t="shared" si="19"/>
        <v>0</v>
      </c>
      <c r="BO16" s="51">
        <f t="shared" si="20"/>
        <v>341</v>
      </c>
      <c r="BP16" s="141">
        <v>11</v>
      </c>
      <c r="BQ16" s="142" t="s">
        <v>77</v>
      </c>
      <c r="BR16" s="143">
        <v>5100</v>
      </c>
      <c r="BS16" s="143">
        <v>164.4</v>
      </c>
      <c r="BT16" s="143">
        <f t="shared" ref="BT16:BT28" si="28">BR16/BS16</f>
        <v>31.021897810218977</v>
      </c>
      <c r="BU16" s="143">
        <f t="shared" ref="BU16:BU20" si="29">BO16</f>
        <v>341</v>
      </c>
      <c r="BV16" s="143">
        <f t="shared" ref="BV16:BV28" si="30">BU16-BS16</f>
        <v>176.6</v>
      </c>
      <c r="BW16" s="144">
        <f t="shared" si="13"/>
        <v>10578.467153284671</v>
      </c>
      <c r="BX16" s="143">
        <f t="shared" ref="BX16:BX28" si="31">BW16*20%</f>
        <v>2115.693430656934</v>
      </c>
      <c r="BY16" s="143">
        <f t="shared" ref="BY16:BY28" si="32">BV16*(BT16*2)</f>
        <v>10956.934306569343</v>
      </c>
      <c r="BZ16" s="143"/>
      <c r="CA16" s="143"/>
      <c r="CB16" s="143"/>
      <c r="CC16" s="143"/>
      <c r="CD16" s="145">
        <f t="shared" si="21"/>
        <v>23651.094890510947</v>
      </c>
      <c r="CE16" s="146">
        <f t="shared" si="5"/>
        <v>23651.094890510947</v>
      </c>
      <c r="CF16" s="143">
        <v>0</v>
      </c>
      <c r="CG16" s="143">
        <f t="shared" ref="CG16:CG29" si="33">CD16-CF16-CC16</f>
        <v>23651.094890510947</v>
      </c>
      <c r="CH16" s="143">
        <f t="shared" ref="CH16:CH29" si="34">CG16*13%</f>
        <v>3074.6423357664235</v>
      </c>
      <c r="CI16" s="147">
        <f t="shared" ref="CI16:CI29" si="35">CD16-CH16</f>
        <v>20576.452554744523</v>
      </c>
      <c r="CJ16" s="148">
        <v>7000</v>
      </c>
      <c r="CK16" s="143"/>
      <c r="CL16" s="143">
        <f t="shared" ref="CL16:CL29" si="36">CI16-CJ16-CK16</f>
        <v>13576.452554744523</v>
      </c>
      <c r="CM16" s="60">
        <f t="shared" si="14"/>
        <v>5203.240875912408</v>
      </c>
      <c r="CN16" s="61">
        <f t="shared" si="15"/>
        <v>47.302189781021895</v>
      </c>
      <c r="CO16" s="61">
        <f t="shared" si="16"/>
        <v>685.8817518248175</v>
      </c>
      <c r="CP16" s="61">
        <f t="shared" si="17"/>
        <v>1206.2058394160583</v>
      </c>
      <c r="CQ16" s="149">
        <f>CJ16+CJ17+CJ19+CJ20</f>
        <v>28000</v>
      </c>
      <c r="CR16" s="150" t="s">
        <v>78</v>
      </c>
    </row>
    <row r="17" ht="9" customHeight="1" spans="1:96" x14ac:dyDescent="0.25">
      <c r="A17" s="81">
        <v>12</v>
      </c>
      <c r="B17" s="133" t="s">
        <v>79</v>
      </c>
      <c r="C17" s="135"/>
      <c r="D17" s="134"/>
      <c r="E17" s="135"/>
      <c r="F17" s="136"/>
      <c r="G17" s="135"/>
      <c r="H17" s="134"/>
      <c r="I17" s="135"/>
      <c r="J17" s="137"/>
      <c r="K17" s="135"/>
      <c r="L17" s="134"/>
      <c r="M17" s="135"/>
      <c r="N17" s="137"/>
      <c r="O17" s="135"/>
      <c r="P17" s="134"/>
      <c r="Q17" s="135"/>
      <c r="R17" s="137"/>
      <c r="S17" s="135"/>
      <c r="T17" s="134"/>
      <c r="U17" s="135"/>
      <c r="V17" s="137"/>
      <c r="W17" s="135"/>
      <c r="X17" s="134"/>
      <c r="Y17" s="135"/>
      <c r="Z17" s="137"/>
      <c r="AA17" s="135"/>
      <c r="AB17" s="134"/>
      <c r="AC17" s="135"/>
      <c r="AD17" s="137"/>
      <c r="AE17" s="135"/>
      <c r="AF17" s="134"/>
      <c r="AG17" s="135"/>
      <c r="AH17" s="137"/>
      <c r="AI17" s="135"/>
      <c r="AJ17" s="134"/>
      <c r="AK17" s="135"/>
      <c r="AL17" s="137"/>
      <c r="AM17" s="135"/>
      <c r="AN17" s="134"/>
      <c r="AO17" s="135"/>
      <c r="AP17" s="137"/>
      <c r="AQ17" s="135"/>
      <c r="AR17" s="134"/>
      <c r="AS17" s="135"/>
      <c r="AT17" s="137"/>
      <c r="AU17" s="135"/>
      <c r="AV17" s="134"/>
      <c r="AW17" s="135"/>
      <c r="AX17" s="137"/>
      <c r="AY17" s="135"/>
      <c r="AZ17" s="134"/>
      <c r="BA17" s="135"/>
      <c r="BB17" s="137"/>
      <c r="BC17" s="135"/>
      <c r="BD17" s="134"/>
      <c r="BE17" s="135"/>
      <c r="BF17" s="137"/>
      <c r="BG17" s="135"/>
      <c r="BH17" s="134"/>
      <c r="BI17" s="135"/>
      <c r="BJ17" s="137"/>
      <c r="BK17" s="135"/>
      <c r="BL17" s="134"/>
      <c r="BM17" s="140">
        <f t="shared" si="18"/>
        <v>0</v>
      </c>
      <c r="BN17" s="139">
        <f t="shared" si="19"/>
        <v>341</v>
      </c>
      <c r="BO17" s="51">
        <f t="shared" si="20"/>
        <v>341</v>
      </c>
      <c r="BP17" s="141">
        <v>12</v>
      </c>
      <c r="BQ17" s="142" t="s">
        <v>80</v>
      </c>
      <c r="BR17" s="143">
        <v>5100</v>
      </c>
      <c r="BS17" s="143">
        <v>164.4</v>
      </c>
      <c r="BT17" s="143">
        <f t="shared" si="28"/>
        <v>31.021897810218977</v>
      </c>
      <c r="BU17" s="143">
        <f t="shared" si="29"/>
        <v>341</v>
      </c>
      <c r="BV17" s="143">
        <f t="shared" si="30"/>
        <v>176.6</v>
      </c>
      <c r="BW17" s="144">
        <f>BT17*BU17</f>
        <v>10578.467153284671</v>
      </c>
      <c r="BX17" s="143">
        <f t="shared" si="31"/>
        <v>2115.693430656934</v>
      </c>
      <c r="BY17" s="143">
        <f t="shared" si="32"/>
        <v>10956.934306569343</v>
      </c>
      <c r="BZ17" s="143"/>
      <c r="CA17" s="143"/>
      <c r="CB17" s="143"/>
      <c r="CC17" s="143"/>
      <c r="CD17" s="145">
        <f t="shared" si="21"/>
        <v>23651.094890510947</v>
      </c>
      <c r="CE17" s="146">
        <f t="shared" si="5"/>
        <v>23651.094890510947</v>
      </c>
      <c r="CF17" s="143">
        <v>0</v>
      </c>
      <c r="CG17" s="143">
        <f t="shared" si="33"/>
        <v>23651.094890510947</v>
      </c>
      <c r="CH17" s="143">
        <f t="shared" si="34"/>
        <v>3074.6423357664235</v>
      </c>
      <c r="CI17" s="147">
        <f t="shared" si="35"/>
        <v>20576.452554744523</v>
      </c>
      <c r="CJ17" s="148">
        <v>7000</v>
      </c>
      <c r="CK17" s="143"/>
      <c r="CL17" s="143">
        <f t="shared" si="36"/>
        <v>13576.452554744523</v>
      </c>
      <c r="CM17" s="60">
        <f t="shared" si="14"/>
        <v>5203.240875912408</v>
      </c>
      <c r="CN17" s="61">
        <f t="shared" si="15"/>
        <v>47.302189781021895</v>
      </c>
      <c r="CO17" s="61">
        <f t="shared" si="16"/>
        <v>685.8817518248175</v>
      </c>
      <c r="CP17" s="61">
        <f t="shared" si="17"/>
        <v>1206.2058394160583</v>
      </c>
      <c r="CQ17" s="151">
        <f>CK24</f>
        <v>0</v>
      </c>
      <c r="CR17" s="152" t="s">
        <v>81</v>
      </c>
    </row>
    <row r="18" ht="9" customHeight="1" spans="1:96" x14ac:dyDescent="0.25">
      <c r="A18" s="153">
        <v>23</v>
      </c>
      <c r="B18" s="154" t="s">
        <v>82</v>
      </c>
      <c r="C18" s="93"/>
      <c r="D18" s="93"/>
      <c r="E18" s="104"/>
      <c r="F18" s="93"/>
      <c r="G18" s="104"/>
      <c r="H18" s="93"/>
      <c r="I18" s="104"/>
      <c r="J18" s="93"/>
      <c r="K18" s="104"/>
      <c r="L18" s="93"/>
      <c r="M18" s="104"/>
      <c r="N18" s="93"/>
      <c r="O18" s="104"/>
      <c r="P18" s="93"/>
      <c r="Q18" s="104"/>
      <c r="R18" s="93"/>
      <c r="S18" s="104"/>
      <c r="T18" s="93"/>
      <c r="U18" s="104"/>
      <c r="V18" s="93"/>
      <c r="W18" s="104"/>
      <c r="X18" s="93"/>
      <c r="Y18" s="104"/>
      <c r="Z18" s="93"/>
      <c r="AA18" s="104"/>
      <c r="AB18" s="93"/>
      <c r="AC18" s="104"/>
      <c r="AD18" s="93"/>
      <c r="AE18" s="104"/>
      <c r="AF18" s="93"/>
      <c r="AG18" s="104"/>
      <c r="AH18" s="93"/>
      <c r="AI18" s="104"/>
      <c r="AJ18" s="93"/>
      <c r="AK18" s="104"/>
      <c r="AL18" s="93"/>
      <c r="AM18" s="104"/>
      <c r="AN18" s="93"/>
      <c r="AO18" s="104"/>
      <c r="AP18" s="93"/>
      <c r="AQ18" s="104"/>
      <c r="AR18" s="93"/>
      <c r="AS18" s="104"/>
      <c r="AT18" s="93"/>
      <c r="AU18" s="104"/>
      <c r="AV18" s="93"/>
      <c r="AW18" s="104"/>
      <c r="AX18" s="93"/>
      <c r="AY18" s="104"/>
      <c r="AZ18" s="155"/>
      <c r="BA18" s="104"/>
      <c r="BB18" s="93"/>
      <c r="BC18" s="104"/>
      <c r="BD18" s="93"/>
      <c r="BE18" s="104"/>
      <c r="BF18" s="93"/>
      <c r="BG18" s="104"/>
      <c r="BH18" s="93"/>
      <c r="BI18" s="104"/>
      <c r="BJ18" s="93"/>
      <c r="BK18" s="93"/>
      <c r="BL18" s="156"/>
      <c r="BM18" s="157">
        <f t="shared" si="18"/>
        <v>0</v>
      </c>
      <c r="BN18" s="157">
        <f t="shared" si="19"/>
        <v>0</v>
      </c>
      <c r="BO18" s="158">
        <f t="shared" si="20"/>
        <v>0</v>
      </c>
      <c r="BP18" s="52">
        <v>0</v>
      </c>
      <c r="BQ18" s="159" t="s">
        <v>59</v>
      </c>
      <c r="BR18" s="54">
        <v>5100</v>
      </c>
      <c r="BS18" s="54">
        <v>164.4</v>
      </c>
      <c r="BT18" s="54">
        <f t="shared" si="28"/>
        <v>31.021897810218977</v>
      </c>
      <c r="BU18" s="54">
        <f t="shared" si="29"/>
        <v>0</v>
      </c>
      <c r="BV18" s="54">
        <v>0</v>
      </c>
      <c r="BW18" s="55">
        <f t="shared" si="13"/>
        <v>0</v>
      </c>
      <c r="BX18" s="54">
        <f t="shared" si="31"/>
        <v>0</v>
      </c>
      <c r="BY18" s="54">
        <f t="shared" si="32"/>
        <v>0</v>
      </c>
      <c r="BZ18" s="54"/>
      <c r="CA18" s="54"/>
      <c r="CB18" s="54"/>
      <c r="CC18" s="54"/>
      <c r="CD18" s="56">
        <f>BW18+BX18+BY18+CA18+CB18+BZ18+CC18</f>
        <v>0</v>
      </c>
      <c r="CE18" s="57">
        <f t="shared" si="5"/>
        <v>0</v>
      </c>
      <c r="CF18" s="54">
        <v>0</v>
      </c>
      <c r="CG18" s="54">
        <f t="shared" si="33"/>
        <v>0</v>
      </c>
      <c r="CH18" s="54">
        <f t="shared" si="34"/>
        <v>0</v>
      </c>
      <c r="CI18" s="58">
        <f t="shared" si="35"/>
        <v>0</v>
      </c>
      <c r="CJ18" s="59">
        <v>0</v>
      </c>
      <c r="CK18" s="54"/>
      <c r="CL18" s="54">
        <f t="shared" si="36"/>
        <v>0</v>
      </c>
      <c r="CM18" s="60">
        <f t="shared" si="14"/>
        <v>0</v>
      </c>
      <c r="CN18" s="61">
        <f t="shared" si="15"/>
        <v>0</v>
      </c>
      <c r="CO18" s="61">
        <f t="shared" si="16"/>
        <v>0</v>
      </c>
      <c r="CP18" s="61">
        <f t="shared" si="17"/>
        <v>0</v>
      </c>
      <c r="CQ18" s="160">
        <f>CC31</f>
        <v>394.53</v>
      </c>
      <c r="CR18" s="161" t="s">
        <v>83</v>
      </c>
    </row>
    <row r="19" ht="9" customHeight="1" spans="1:96" x14ac:dyDescent="0.25">
      <c r="A19" s="81">
        <v>13</v>
      </c>
      <c r="B19" s="133" t="s">
        <v>84</v>
      </c>
      <c r="C19" s="134"/>
      <c r="D19" s="162"/>
      <c r="E19" s="134"/>
      <c r="F19" s="136"/>
      <c r="G19" s="134"/>
      <c r="H19" s="136"/>
      <c r="I19" s="134"/>
      <c r="J19" s="136"/>
      <c r="K19" s="134"/>
      <c r="L19" s="162"/>
      <c r="M19" s="134"/>
      <c r="N19" s="136"/>
      <c r="O19" s="134"/>
      <c r="P19" s="136"/>
      <c r="Q19" s="134"/>
      <c r="R19" s="136"/>
      <c r="S19" s="134"/>
      <c r="T19" s="162"/>
      <c r="U19" s="134"/>
      <c r="V19" s="136"/>
      <c r="W19" s="134"/>
      <c r="X19" s="136"/>
      <c r="Y19" s="134"/>
      <c r="Z19" s="136"/>
      <c r="AA19" s="134"/>
      <c r="AB19" s="162"/>
      <c r="AC19" s="134"/>
      <c r="AD19" s="136"/>
      <c r="AE19" s="134"/>
      <c r="AF19" s="136"/>
      <c r="AG19" s="134"/>
      <c r="AH19" s="136"/>
      <c r="AI19" s="134"/>
      <c r="AJ19" s="162"/>
      <c r="AK19" s="134"/>
      <c r="AL19" s="136"/>
      <c r="AM19" s="134"/>
      <c r="AN19" s="136"/>
      <c r="AO19" s="134"/>
      <c r="AP19" s="136"/>
      <c r="AQ19" s="134"/>
      <c r="AR19" s="162"/>
      <c r="AS19" s="134"/>
      <c r="AT19" s="136"/>
      <c r="AU19" s="134"/>
      <c r="AV19" s="136"/>
      <c r="AW19" s="134"/>
      <c r="AX19" s="136"/>
      <c r="AY19" s="134"/>
      <c r="AZ19" s="162"/>
      <c r="BA19" s="134"/>
      <c r="BB19" s="136"/>
      <c r="BC19" s="134"/>
      <c r="BD19" s="136"/>
      <c r="BE19" s="134"/>
      <c r="BF19" s="136"/>
      <c r="BG19" s="134"/>
      <c r="BH19" s="136"/>
      <c r="BI19" s="134"/>
      <c r="BJ19" s="136"/>
      <c r="BK19" s="134"/>
      <c r="BL19" s="162"/>
      <c r="BM19" s="140">
        <f t="shared" si="18"/>
        <v>341</v>
      </c>
      <c r="BN19" s="139">
        <f t="shared" si="19"/>
        <v>0</v>
      </c>
      <c r="BO19" s="51">
        <f t="shared" si="20"/>
        <v>341</v>
      </c>
      <c r="BP19" s="141">
        <v>13</v>
      </c>
      <c r="BQ19" s="163" t="s">
        <v>85</v>
      </c>
      <c r="BR19" s="143">
        <v>5100</v>
      </c>
      <c r="BS19" s="143">
        <v>164.4</v>
      </c>
      <c r="BT19" s="143">
        <f t="shared" si="28"/>
        <v>31.021897810218977</v>
      </c>
      <c r="BU19" s="143">
        <f t="shared" si="29"/>
        <v>341</v>
      </c>
      <c r="BV19" s="143">
        <f t="shared" si="30"/>
        <v>176.6</v>
      </c>
      <c r="BW19" s="144">
        <f t="shared" si="13"/>
        <v>10578.467153284671</v>
      </c>
      <c r="BX19" s="143">
        <f t="shared" si="31"/>
        <v>2115.693430656934</v>
      </c>
      <c r="BY19" s="143">
        <f t="shared" si="32"/>
        <v>10956.934306569343</v>
      </c>
      <c r="BZ19" s="143"/>
      <c r="CA19" s="143"/>
      <c r="CB19" s="143"/>
      <c r="CC19" s="143"/>
      <c r="CD19" s="145">
        <f>BW19+BX19+BY19+CA19+CB19+BZ19+CC19</f>
        <v>23651.094890510947</v>
      </c>
      <c r="CE19" s="146">
        <f t="shared" si="5"/>
        <v>23651.094890510947</v>
      </c>
      <c r="CF19" s="143">
        <v>0</v>
      </c>
      <c r="CG19" s="143">
        <f t="shared" si="33"/>
        <v>23651.094890510947</v>
      </c>
      <c r="CH19" s="143">
        <f t="shared" si="34"/>
        <v>3074.6423357664235</v>
      </c>
      <c r="CI19" s="147">
        <f t="shared" si="35"/>
        <v>20576.452554744523</v>
      </c>
      <c r="CJ19" s="148">
        <v>7000</v>
      </c>
      <c r="CK19" s="143"/>
      <c r="CL19" s="143">
        <f t="shared" si="36"/>
        <v>13576.452554744523</v>
      </c>
      <c r="CM19" s="60">
        <f t="shared" si="14"/>
        <v>5203.240875912408</v>
      </c>
      <c r="CN19" s="61">
        <f t="shared" si="15"/>
        <v>47.302189781021895</v>
      </c>
      <c r="CO19" s="61">
        <f t="shared" si="16"/>
        <v>685.8817518248175</v>
      </c>
      <c r="CP19" s="61">
        <f t="shared" si="17"/>
        <v>1206.2058394160583</v>
      </c>
      <c r="CQ19" s="160"/>
      <c r="CR19" s="161"/>
    </row>
    <row r="20" ht="9" customHeight="1" spans="1:96" x14ac:dyDescent="0.25">
      <c r="A20" s="81">
        <v>14</v>
      </c>
      <c r="B20" s="133" t="s">
        <v>86</v>
      </c>
      <c r="C20" s="134"/>
      <c r="D20" s="134"/>
      <c r="E20" s="134"/>
      <c r="F20" s="164"/>
      <c r="G20" s="134"/>
      <c r="H20" s="164"/>
      <c r="I20" s="134"/>
      <c r="J20" s="164"/>
      <c r="K20" s="134"/>
      <c r="L20" s="134"/>
      <c r="M20" s="134"/>
      <c r="N20" s="164"/>
      <c r="O20" s="134"/>
      <c r="P20" s="164"/>
      <c r="Q20" s="134"/>
      <c r="R20" s="164"/>
      <c r="S20" s="134"/>
      <c r="T20" s="134"/>
      <c r="U20" s="134"/>
      <c r="V20" s="164"/>
      <c r="W20" s="134"/>
      <c r="X20" s="164"/>
      <c r="Y20" s="134"/>
      <c r="Z20" s="164"/>
      <c r="AA20" s="134"/>
      <c r="AB20" s="134"/>
      <c r="AC20" s="134"/>
      <c r="AD20" s="164"/>
      <c r="AE20" s="134"/>
      <c r="AF20" s="164"/>
      <c r="AG20" s="134"/>
      <c r="AH20" s="164"/>
      <c r="AI20" s="134"/>
      <c r="AJ20" s="134"/>
      <c r="AK20" s="134"/>
      <c r="AL20" s="164"/>
      <c r="AM20" s="134"/>
      <c r="AN20" s="164"/>
      <c r="AO20" s="134"/>
      <c r="AP20" s="164"/>
      <c r="AQ20" s="134"/>
      <c r="AR20" s="134"/>
      <c r="AS20" s="134"/>
      <c r="AT20" s="164"/>
      <c r="AU20" s="134"/>
      <c r="AV20" s="164"/>
      <c r="AW20" s="134"/>
      <c r="AX20" s="164"/>
      <c r="AY20" s="134"/>
      <c r="AZ20" s="134"/>
      <c r="BA20" s="134"/>
      <c r="BB20" s="164"/>
      <c r="BC20" s="134"/>
      <c r="BD20" s="164"/>
      <c r="BE20" s="134"/>
      <c r="BF20" s="164"/>
      <c r="BG20" s="134"/>
      <c r="BH20" s="164"/>
      <c r="BI20" s="134"/>
      <c r="BJ20" s="164"/>
      <c r="BK20" s="134"/>
      <c r="BL20" s="134"/>
      <c r="BM20" s="139">
        <f t="shared" si="18"/>
        <v>0</v>
      </c>
      <c r="BN20" s="140">
        <f t="shared" si="19"/>
        <v>341</v>
      </c>
      <c r="BO20" s="51">
        <f t="shared" si="20"/>
        <v>341</v>
      </c>
      <c r="BP20" s="141">
        <v>14</v>
      </c>
      <c r="BQ20" s="163" t="s">
        <v>87</v>
      </c>
      <c r="BR20" s="143">
        <v>5100</v>
      </c>
      <c r="BS20" s="143">
        <v>164.4</v>
      </c>
      <c r="BT20" s="143">
        <f t="shared" si="28"/>
        <v>31.021897810218977</v>
      </c>
      <c r="BU20" s="143">
        <f t="shared" si="29"/>
        <v>341</v>
      </c>
      <c r="BV20" s="143">
        <f t="shared" si="30"/>
        <v>176.6</v>
      </c>
      <c r="BW20" s="144">
        <f t="shared" si="13"/>
        <v>10578.467153284671</v>
      </c>
      <c r="BX20" s="143">
        <f t="shared" si="31"/>
        <v>2115.693430656934</v>
      </c>
      <c r="BY20" s="143">
        <f t="shared" si="32"/>
        <v>10956.934306569343</v>
      </c>
      <c r="BZ20" s="143"/>
      <c r="CA20" s="143">
        <v>11394.34</v>
      </c>
      <c r="CB20" s="143"/>
      <c r="CC20" s="143"/>
      <c r="CD20" s="145">
        <f t="shared" si="21"/>
        <v>35045.43489051095</v>
      </c>
      <c r="CE20" s="146">
        <f t="shared" si="5"/>
        <v>35045.43489051095</v>
      </c>
      <c r="CF20" s="143">
        <v>0</v>
      </c>
      <c r="CG20" s="143">
        <f t="shared" si="33"/>
        <v>35045.43489051095</v>
      </c>
      <c r="CH20" s="143">
        <f t="shared" si="34"/>
        <v>4555.906535766424</v>
      </c>
      <c r="CI20" s="147">
        <f t="shared" si="35"/>
        <v>30489.52835474453</v>
      </c>
      <c r="CJ20" s="148">
        <v>7000</v>
      </c>
      <c r="CK20" s="143"/>
      <c r="CL20" s="143">
        <f>CI20-CJ20-CK20</f>
        <v>23489.52835474453</v>
      </c>
      <c r="CM20" s="60">
        <f t="shared" si="14"/>
        <v>7709.995675912409</v>
      </c>
      <c r="CN20" s="61">
        <f t="shared" si="15"/>
        <v>70.09086978102191</v>
      </c>
      <c r="CO20" s="61">
        <f t="shared" si="16"/>
        <v>1016.3176118248175</v>
      </c>
      <c r="CP20" s="61">
        <f t="shared" si="17"/>
        <v>1787.3171794160585</v>
      </c>
      <c r="CQ20" s="160"/>
      <c r="CR20" s="161"/>
    </row>
    <row r="21" ht="9" customHeight="1" spans="1:101" x14ac:dyDescent="0.25">
      <c r="A21" s="43">
        <v>15</v>
      </c>
      <c r="B21" s="108" t="s">
        <v>88</v>
      </c>
      <c r="C21" s="165"/>
      <c r="D21" s="47"/>
      <c r="E21" s="165"/>
      <c r="F21" s="166"/>
      <c r="G21" s="165"/>
      <c r="H21" s="166"/>
      <c r="I21" s="165"/>
      <c r="J21" s="166"/>
      <c r="K21" s="165"/>
      <c r="L21" s="166"/>
      <c r="M21" s="165"/>
      <c r="N21" s="166"/>
      <c r="O21" s="165"/>
      <c r="P21" s="166"/>
      <c r="Q21" s="165"/>
      <c r="R21" s="166"/>
      <c r="S21" s="165"/>
      <c r="T21" s="166"/>
      <c r="U21" s="165"/>
      <c r="V21" s="166"/>
      <c r="W21" s="165"/>
      <c r="X21" s="166"/>
      <c r="Y21" s="165"/>
      <c r="Z21" s="166"/>
      <c r="AA21" s="165"/>
      <c r="AB21" s="166"/>
      <c r="AC21" s="165"/>
      <c r="AD21" s="166"/>
      <c r="AE21" s="165"/>
      <c r="AF21" s="166"/>
      <c r="AG21" s="165"/>
      <c r="AH21" s="166"/>
      <c r="AI21" s="165"/>
      <c r="AJ21" s="166"/>
      <c r="AK21" s="165"/>
      <c r="AL21" s="166"/>
      <c r="AM21" s="165"/>
      <c r="AN21" s="166"/>
      <c r="AO21" s="165"/>
      <c r="AP21" s="166"/>
      <c r="AQ21" s="165"/>
      <c r="AR21" s="166"/>
      <c r="AS21" s="165"/>
      <c r="AT21" s="166"/>
      <c r="AU21" s="165"/>
      <c r="AV21" s="166"/>
      <c r="AW21" s="165"/>
      <c r="AX21" s="166"/>
      <c r="AY21" s="165"/>
      <c r="AZ21" s="166"/>
      <c r="BA21" s="167"/>
      <c r="BB21" s="166"/>
      <c r="BC21" s="165"/>
      <c r="BD21" s="166"/>
      <c r="BE21" s="165"/>
      <c r="BF21" s="166"/>
      <c r="BG21" s="165"/>
      <c r="BH21" s="166"/>
      <c r="BI21" s="165"/>
      <c r="BJ21" s="166"/>
      <c r="BK21" s="165"/>
      <c r="BL21" s="166"/>
      <c r="BM21" s="168">
        <f t="shared" si="18"/>
        <v>362</v>
      </c>
      <c r="BN21" s="49">
        <f t="shared" si="19"/>
        <v>0</v>
      </c>
      <c r="BO21" s="51">
        <f t="shared" si="20"/>
        <v>362</v>
      </c>
      <c r="BP21" s="169">
        <v>15</v>
      </c>
      <c r="BQ21" s="170" t="s">
        <v>89</v>
      </c>
      <c r="BR21" s="171">
        <v>4500</v>
      </c>
      <c r="BS21" s="171">
        <v>164.4</v>
      </c>
      <c r="BT21" s="171">
        <f t="shared" si="28"/>
        <v>27.37226277372263</v>
      </c>
      <c r="BU21" s="171">
        <f>BO21</f>
        <v>362</v>
      </c>
      <c r="BV21" s="54">
        <f t="shared" si="30"/>
        <v>197.6</v>
      </c>
      <c r="BW21" s="172">
        <f t="shared" si="13"/>
        <v>9908.759124087592</v>
      </c>
      <c r="BX21" s="171">
        <f t="shared" si="31"/>
        <v>1981.7518248175184</v>
      </c>
      <c r="BY21" s="171">
        <f t="shared" si="32"/>
        <v>10817.518248175182</v>
      </c>
      <c r="BZ21" s="171"/>
      <c r="CA21" s="171"/>
      <c r="CB21" s="171"/>
      <c r="CC21" s="171"/>
      <c r="CD21" s="173">
        <f t="shared" si="21"/>
        <v>22708.029197080294</v>
      </c>
      <c r="CE21" s="174">
        <f t="shared" si="5"/>
        <v>22708.029197080294</v>
      </c>
      <c r="CF21" s="54">
        <v>0</v>
      </c>
      <c r="CG21" s="171">
        <f t="shared" si="33"/>
        <v>22708.029197080294</v>
      </c>
      <c r="CH21" s="171">
        <f t="shared" si="34"/>
        <v>2952.0437956204382</v>
      </c>
      <c r="CI21" s="175">
        <f t="shared" si="35"/>
        <v>19755.985401459857</v>
      </c>
      <c r="CJ21" s="176">
        <v>7000</v>
      </c>
      <c r="CK21" s="171"/>
      <c r="CL21" s="171">
        <f t="shared" si="36"/>
        <v>12755.985401459857</v>
      </c>
      <c r="CM21" s="60">
        <f t="shared" si="14"/>
        <v>4995.766423357664</v>
      </c>
      <c r="CN21" s="61">
        <f t="shared" si="15"/>
        <v>45.416058394160586</v>
      </c>
      <c r="CO21" s="61">
        <f t="shared" si="16"/>
        <v>658.5328467153284</v>
      </c>
      <c r="CP21" s="61">
        <f t="shared" si="17"/>
        <v>1158.109489051095</v>
      </c>
      <c r="CQ21" s="160"/>
      <c r="CR21" s="161"/>
      <c r="CS21" s="177"/>
      <c r="CT21" s="177"/>
      <c r="CU21" s="177"/>
      <c r="CV21" s="177"/>
      <c r="CW21" s="177"/>
    </row>
    <row r="22" ht="9" customHeight="1" spans="1:101" s="178" customFormat="1" x14ac:dyDescent="0.25">
      <c r="A22" s="179">
        <v>16</v>
      </c>
      <c r="B22" s="180" t="s">
        <v>90</v>
      </c>
      <c r="C22" s="181"/>
      <c r="D22" s="181"/>
      <c r="E22" s="181"/>
      <c r="F22" s="182"/>
      <c r="G22" s="181"/>
      <c r="H22" s="182"/>
      <c r="I22" s="181"/>
      <c r="J22" s="182"/>
      <c r="K22" s="181"/>
      <c r="L22" s="182"/>
      <c r="M22" s="181"/>
      <c r="N22" s="182"/>
      <c r="O22" s="181"/>
      <c r="P22" s="182"/>
      <c r="Q22" s="181"/>
      <c r="R22" s="182"/>
      <c r="S22" s="181"/>
      <c r="T22" s="182"/>
      <c r="U22" s="181"/>
      <c r="V22" s="182"/>
      <c r="W22" s="181"/>
      <c r="X22" s="182"/>
      <c r="Y22" s="181"/>
      <c r="Z22" s="182"/>
      <c r="AA22" s="181"/>
      <c r="AB22" s="182"/>
      <c r="AC22" s="181"/>
      <c r="AD22" s="182"/>
      <c r="AE22" s="181"/>
      <c r="AF22" s="182"/>
      <c r="AG22" s="181"/>
      <c r="AH22" s="182"/>
      <c r="AI22" s="181"/>
      <c r="AJ22" s="182"/>
      <c r="AK22" s="181"/>
      <c r="AL22" s="182"/>
      <c r="AM22" s="181"/>
      <c r="AN22" s="182"/>
      <c r="AO22" s="181"/>
      <c r="AP22" s="182"/>
      <c r="AQ22" s="181"/>
      <c r="AR22" s="182"/>
      <c r="AS22" s="181"/>
      <c r="AT22" s="182"/>
      <c r="AU22" s="181"/>
      <c r="AV22" s="182"/>
      <c r="AW22" s="181"/>
      <c r="AX22" s="182"/>
      <c r="AY22" s="181"/>
      <c r="AZ22" s="182"/>
      <c r="BA22" s="183"/>
      <c r="BB22" s="182"/>
      <c r="BC22" s="181"/>
      <c r="BD22" s="182"/>
      <c r="BE22" s="181"/>
      <c r="BF22" s="182"/>
      <c r="BG22" s="181"/>
      <c r="BH22" s="182"/>
      <c r="BI22" s="181"/>
      <c r="BJ22" s="182"/>
      <c r="BK22" s="181"/>
      <c r="BL22" s="182"/>
      <c r="BM22" s="94">
        <f t="shared" ref="BM22:BM25" si="37">C22+E22+G22+I22+K22+M22+O22+Q22+S22+U22+W22+Y22+AA22+AC22+AE22+AG22+AI22+AK22+AM22+AO22+AQ22+AS22+AU22+AW22+AY22+BA22+BC22+BE22+BG22+BI22+BK22</f>
        <v>0</v>
      </c>
      <c r="BN22" s="94">
        <f t="shared" si="19"/>
        <v>0</v>
      </c>
      <c r="BO22" s="95">
        <f t="shared" si="20"/>
        <v>0</v>
      </c>
      <c r="BP22" s="179">
        <v>16</v>
      </c>
      <c r="BQ22" s="180" t="s">
        <v>91</v>
      </c>
      <c r="BR22" s="184">
        <v>4500</v>
      </c>
      <c r="BS22" s="184">
        <v>164.4</v>
      </c>
      <c r="BT22" s="184">
        <f t="shared" si="28"/>
        <v>27.37226277372263</v>
      </c>
      <c r="BU22" s="184">
        <f t="shared" ref="BU22" si="38">BO22</f>
        <v>0</v>
      </c>
      <c r="BV22" s="184">
        <v>0</v>
      </c>
      <c r="BW22" s="185">
        <f t="shared" si="13"/>
        <v>0</v>
      </c>
      <c r="BX22" s="184">
        <f t="shared" si="31"/>
        <v>0</v>
      </c>
      <c r="BY22" s="184">
        <f t="shared" si="32"/>
        <v>0</v>
      </c>
      <c r="BZ22" s="98"/>
      <c r="CA22" s="186"/>
      <c r="CB22" s="186"/>
      <c r="CC22" s="186"/>
      <c r="CD22" s="187">
        <f>BW22+BX22+BY22+CA22+CB22+BZ22+CC22</f>
        <v>0</v>
      </c>
      <c r="CE22" s="188">
        <f t="shared" si="5"/>
        <v>0</v>
      </c>
      <c r="CF22" s="184">
        <v>0</v>
      </c>
      <c r="CG22" s="184">
        <f t="shared" si="33"/>
        <v>0</v>
      </c>
      <c r="CH22" s="184">
        <f t="shared" si="34"/>
        <v>0</v>
      </c>
      <c r="CI22" s="189">
        <f t="shared" si="35"/>
        <v>0</v>
      </c>
      <c r="CJ22" s="190">
        <v>0</v>
      </c>
      <c r="CK22" s="191"/>
      <c r="CL22" s="184">
        <f t="shared" si="36"/>
        <v>0</v>
      </c>
      <c r="CM22" s="192">
        <f t="shared" si="14"/>
        <v>0</v>
      </c>
      <c r="CN22" s="193">
        <f t="shared" si="15"/>
        <v>0</v>
      </c>
      <c r="CO22" s="193">
        <f t="shared" si="16"/>
        <v>0</v>
      </c>
      <c r="CP22" s="61">
        <f t="shared" si="17"/>
        <v>0</v>
      </c>
      <c r="CQ22" s="194"/>
      <c r="CR22" s="195"/>
      <c r="CS22" s="177"/>
      <c r="CT22" s="177"/>
      <c r="CU22" s="177"/>
      <c r="CV22" s="177"/>
      <c r="CW22" s="177"/>
    </row>
    <row r="23" ht="9" customHeight="1" spans="1:101" s="178" customFormat="1" x14ac:dyDescent="0.25">
      <c r="A23" s="196">
        <v>17</v>
      </c>
      <c r="B23" s="197" t="s">
        <v>92</v>
      </c>
      <c r="C23" s="104"/>
      <c r="D23" s="93"/>
      <c r="E23" s="93"/>
      <c r="F23" s="93"/>
      <c r="G23" s="104"/>
      <c r="H23" s="93"/>
      <c r="I23" s="104"/>
      <c r="J23" s="93"/>
      <c r="K23" s="104"/>
      <c r="L23" s="93"/>
      <c r="M23" s="104"/>
      <c r="N23" s="93"/>
      <c r="O23" s="104"/>
      <c r="P23" s="93"/>
      <c r="Q23" s="104"/>
      <c r="R23" s="93"/>
      <c r="S23" s="104"/>
      <c r="T23" s="93"/>
      <c r="U23" s="104"/>
      <c r="V23" s="93"/>
      <c r="W23" s="104"/>
      <c r="X23" s="93"/>
      <c r="Y23" s="104"/>
      <c r="Z23" s="93"/>
      <c r="AA23" s="104"/>
      <c r="AB23" s="93"/>
      <c r="AC23" s="93"/>
      <c r="AD23" s="93"/>
      <c r="AE23" s="93"/>
      <c r="AF23" s="93"/>
      <c r="AG23" s="93"/>
      <c r="AH23" s="93"/>
      <c r="AI23" s="93"/>
      <c r="AJ23" s="93"/>
      <c r="AK23" s="93"/>
      <c r="AL23" s="93"/>
      <c r="AM23" s="93"/>
      <c r="AN23" s="93"/>
      <c r="AO23" s="93"/>
      <c r="AP23" s="93"/>
      <c r="AQ23" s="93"/>
      <c r="AR23" s="93"/>
      <c r="AS23" s="198"/>
      <c r="AT23" s="199"/>
      <c r="AU23" s="200"/>
      <c r="AV23" s="199"/>
      <c r="AW23" s="200"/>
      <c r="AX23" s="199"/>
      <c r="AY23" s="200"/>
      <c r="AZ23" s="199"/>
      <c r="BA23" s="199"/>
      <c r="BB23" s="200"/>
      <c r="BC23" s="200"/>
      <c r="BD23" s="199"/>
      <c r="BE23" s="199"/>
      <c r="BF23" s="199"/>
      <c r="BG23" s="199"/>
      <c r="BH23" s="200"/>
      <c r="BI23" s="200"/>
      <c r="BJ23" s="200"/>
      <c r="BK23" s="199"/>
      <c r="BL23" s="199"/>
      <c r="BM23" s="201">
        <f t="shared" si="37"/>
        <v>0</v>
      </c>
      <c r="BN23" s="202">
        <f t="shared" ref="BN23:BN26" si="39">D23+F23+H23+J23+L23+N23+P23+R23+T23+V23+X23+Z23+AB23+AD23+AF23+AH23+AJ23+AL23+AN23+AP23+AR23+AT23+AV23+AX23+AZ23+BB23+BD23+BF23+BH23+BJ23+BL23</f>
        <v>0</v>
      </c>
      <c r="BO23" s="158">
        <f t="shared" si="20"/>
        <v>0</v>
      </c>
      <c r="BP23" s="203">
        <v>17</v>
      </c>
      <c r="BQ23" s="204" t="s">
        <v>93</v>
      </c>
      <c r="BR23" s="205">
        <v>4500</v>
      </c>
      <c r="BS23" s="205">
        <v>164.4</v>
      </c>
      <c r="BT23" s="205">
        <f t="shared" si="28"/>
        <v>27.37226277372263</v>
      </c>
      <c r="BU23" s="205">
        <f>BO23</f>
        <v>0</v>
      </c>
      <c r="BV23" s="205">
        <f t="shared" si="30"/>
        <v>-164.4</v>
      </c>
      <c r="BW23" s="206">
        <f t="shared" si="13"/>
        <v>0</v>
      </c>
      <c r="BX23" s="205">
        <f t="shared" si="31"/>
        <v>0</v>
      </c>
      <c r="BY23" s="207">
        <f t="shared" si="32"/>
        <v>-9000</v>
      </c>
      <c r="BZ23" s="208"/>
      <c r="CA23" s="208"/>
      <c r="CB23" s="208"/>
      <c r="CC23" s="209">
        <v>394.53</v>
      </c>
      <c r="CD23" s="210">
        <f t="shared" ref="CD23:CD25" si="40">BW23+BX23+BY23+CA23+CB23+BZ23+CC23</f>
        <v>-8605.47</v>
      </c>
      <c r="CE23" s="211">
        <f t="shared" si="5"/>
        <v>-9000</v>
      </c>
      <c r="CF23" s="205">
        <v>0</v>
      </c>
      <c r="CG23" s="205">
        <f t="shared" si="33"/>
        <v>-9000</v>
      </c>
      <c r="CH23" s="205">
        <f t="shared" si="34"/>
        <v>-1170</v>
      </c>
      <c r="CI23" s="205">
        <f t="shared" si="35"/>
        <v>-7435.469999999999</v>
      </c>
      <c r="CJ23" s="212">
        <v>7000</v>
      </c>
      <c r="CK23" s="205"/>
      <c r="CL23" s="205">
        <f t="shared" si="36"/>
        <v>-14435.47</v>
      </c>
      <c r="CM23" s="213">
        <f t="shared" si="14"/>
        <v>-1980</v>
      </c>
      <c r="CN23" s="213">
        <f t="shared" si="15"/>
        <v>-18</v>
      </c>
      <c r="CO23" s="213">
        <f t="shared" si="16"/>
        <v>-261</v>
      </c>
      <c r="CP23" s="60">
        <f t="shared" si="17"/>
        <v>-458.99999999999994</v>
      </c>
      <c r="CQ23" s="194"/>
      <c r="CR23" s="195"/>
      <c r="CS23" s="177"/>
      <c r="CT23" s="177"/>
      <c r="CU23" s="177"/>
      <c r="CV23" s="177"/>
      <c r="CW23" s="177"/>
    </row>
    <row r="24" ht="9" customHeight="1" spans="1:101" s="178" customFormat="1" x14ac:dyDescent="0.25">
      <c r="A24" s="214">
        <v>18</v>
      </c>
      <c r="B24" s="215" t="s">
        <v>94</v>
      </c>
      <c r="C24" s="216"/>
      <c r="D24" s="217"/>
      <c r="E24" s="218"/>
      <c r="F24" s="218"/>
      <c r="G24" s="217"/>
      <c r="H24" s="217"/>
      <c r="I24" s="217"/>
      <c r="J24" s="217"/>
      <c r="K24" s="218"/>
      <c r="L24" s="218"/>
      <c r="M24" s="218"/>
      <c r="N24" s="218"/>
      <c r="O24" s="217"/>
      <c r="P24" s="217"/>
      <c r="Q24" s="218"/>
      <c r="R24" s="218"/>
      <c r="S24" s="217"/>
      <c r="T24" s="217"/>
      <c r="U24" s="217"/>
      <c r="V24" s="217"/>
      <c r="W24" s="218"/>
      <c r="X24" s="218"/>
      <c r="Y24" s="218"/>
      <c r="Z24" s="217"/>
      <c r="AA24" s="217"/>
      <c r="AB24" s="217"/>
      <c r="AC24" s="218"/>
      <c r="AD24" s="218"/>
      <c r="AE24" s="217"/>
      <c r="AF24" s="217"/>
      <c r="AG24" s="217"/>
      <c r="AH24" s="217"/>
      <c r="AI24" s="218"/>
      <c r="AJ24" s="218"/>
      <c r="AK24" s="218"/>
      <c r="AL24" s="218"/>
      <c r="AM24" s="217"/>
      <c r="AN24" s="217"/>
      <c r="AO24" s="218"/>
      <c r="AP24" s="218"/>
      <c r="AQ24" s="217"/>
      <c r="AR24" s="217"/>
      <c r="AS24" s="217"/>
      <c r="AT24" s="217"/>
      <c r="AU24" s="218"/>
      <c r="AV24" s="218"/>
      <c r="AW24" s="218"/>
      <c r="AX24" s="218"/>
      <c r="AY24" s="217"/>
      <c r="AZ24" s="217"/>
      <c r="BA24" s="218"/>
      <c r="BB24" s="218"/>
      <c r="BC24" s="217"/>
      <c r="BD24" s="217"/>
      <c r="BE24" s="217"/>
      <c r="BF24" s="217"/>
      <c r="BG24" s="218"/>
      <c r="BH24" s="218"/>
      <c r="BI24" s="218"/>
      <c r="BJ24" s="217"/>
      <c r="BK24" s="217"/>
      <c r="BL24" s="217"/>
      <c r="BM24" s="219">
        <f t="shared" si="37"/>
        <v>0</v>
      </c>
      <c r="BN24" s="94">
        <f t="shared" si="39"/>
        <v>0</v>
      </c>
      <c r="BO24" s="95">
        <f t="shared" si="20"/>
        <v>0</v>
      </c>
      <c r="BP24" s="220">
        <v>18</v>
      </c>
      <c r="BQ24" s="215" t="s">
        <v>95</v>
      </c>
      <c r="BR24" s="186">
        <v>4500</v>
      </c>
      <c r="BS24" s="186">
        <v>164.4</v>
      </c>
      <c r="BT24" s="186">
        <f t="shared" si="28"/>
        <v>27.37226277372263</v>
      </c>
      <c r="BU24" s="184">
        <f t="shared" ref="BU24:BU28" si="41">BO24</f>
        <v>0</v>
      </c>
      <c r="BV24" s="98">
        <v>0</v>
      </c>
      <c r="BW24" s="185">
        <f t="shared" si="13"/>
        <v>0</v>
      </c>
      <c r="BX24" s="186">
        <f t="shared" si="31"/>
        <v>0</v>
      </c>
      <c r="BY24" s="184">
        <f t="shared" si="32"/>
        <v>0</v>
      </c>
      <c r="BZ24" s="186"/>
      <c r="CA24" s="186"/>
      <c r="CB24" s="186"/>
      <c r="CC24" s="221"/>
      <c r="CD24" s="222">
        <f t="shared" si="40"/>
        <v>0</v>
      </c>
      <c r="CE24" s="223">
        <f t="shared" si="5"/>
        <v>0</v>
      </c>
      <c r="CF24" s="186">
        <v>0</v>
      </c>
      <c r="CG24" s="186">
        <f t="shared" si="33"/>
        <v>0</v>
      </c>
      <c r="CH24" s="186">
        <f t="shared" si="34"/>
        <v>0</v>
      </c>
      <c r="CI24" s="186">
        <f t="shared" si="35"/>
        <v>0</v>
      </c>
      <c r="CJ24" s="224">
        <v>0</v>
      </c>
      <c r="CK24" s="186"/>
      <c r="CL24" s="186">
        <f t="shared" si="36"/>
        <v>0</v>
      </c>
      <c r="CM24" s="213">
        <f t="shared" si="14"/>
        <v>0</v>
      </c>
      <c r="CN24" s="213">
        <f t="shared" si="15"/>
        <v>0</v>
      </c>
      <c r="CO24" s="213">
        <f t="shared" si="16"/>
        <v>0</v>
      </c>
      <c r="CP24" s="60">
        <f t="shared" si="17"/>
        <v>0</v>
      </c>
      <c r="CQ24" s="225"/>
      <c r="CR24" s="195"/>
      <c r="CS24" s="177"/>
      <c r="CT24" s="177"/>
      <c r="CU24" s="177"/>
      <c r="CV24" s="177"/>
      <c r="CW24" s="177"/>
    </row>
    <row r="25" ht="9" customHeight="1" spans="1:101" x14ac:dyDescent="0.25">
      <c r="A25" s="62">
        <v>19</v>
      </c>
      <c r="B25" s="63" t="s">
        <v>96</v>
      </c>
      <c r="C25" s="226"/>
      <c r="D25" s="45"/>
      <c r="E25" s="227"/>
      <c r="F25" s="47"/>
      <c r="G25" s="226"/>
      <c r="H25" s="45"/>
      <c r="I25" s="226"/>
      <c r="J25" s="45"/>
      <c r="K25" s="227"/>
      <c r="L25" s="47"/>
      <c r="M25" s="227"/>
      <c r="N25" s="47"/>
      <c r="O25" s="226"/>
      <c r="P25" s="45"/>
      <c r="Q25" s="227"/>
      <c r="R25" s="47"/>
      <c r="S25" s="226"/>
      <c r="T25" s="45"/>
      <c r="U25" s="226"/>
      <c r="V25" s="45"/>
      <c r="W25" s="227"/>
      <c r="X25" s="47"/>
      <c r="Y25" s="227"/>
      <c r="Z25" s="45"/>
      <c r="AA25" s="226"/>
      <c r="AB25" s="45"/>
      <c r="AC25" s="227"/>
      <c r="AD25" s="47"/>
      <c r="AE25" s="226"/>
      <c r="AF25" s="45"/>
      <c r="AG25" s="226"/>
      <c r="AH25" s="45"/>
      <c r="AI25" s="227"/>
      <c r="AJ25" s="47"/>
      <c r="AK25" s="227"/>
      <c r="AL25" s="47"/>
      <c r="AM25" s="226"/>
      <c r="AN25" s="45"/>
      <c r="AO25" s="227"/>
      <c r="AP25" s="47"/>
      <c r="AQ25" s="226"/>
      <c r="AR25" s="45"/>
      <c r="AS25" s="226"/>
      <c r="AT25" s="45"/>
      <c r="AU25" s="228"/>
      <c r="AV25" s="229"/>
      <c r="AW25" s="230"/>
      <c r="AX25" s="229"/>
      <c r="AY25" s="231"/>
      <c r="AZ25" s="232"/>
      <c r="BA25" s="230"/>
      <c r="BB25" s="229"/>
      <c r="BC25" s="231"/>
      <c r="BD25" s="232"/>
      <c r="BE25" s="231"/>
      <c r="BF25" s="232"/>
      <c r="BG25" s="230"/>
      <c r="BH25" s="229"/>
      <c r="BI25" s="230"/>
      <c r="BJ25" s="232"/>
      <c r="BK25" s="231"/>
      <c r="BL25" s="232"/>
      <c r="BM25" s="233">
        <f t="shared" si="37"/>
        <v>375</v>
      </c>
      <c r="BN25" s="234">
        <f t="shared" si="39"/>
        <v>0</v>
      </c>
      <c r="BO25" s="235">
        <f t="shared" si="20"/>
        <v>375</v>
      </c>
      <c r="BP25" s="236">
        <v>19</v>
      </c>
      <c r="BQ25" s="63" t="s">
        <v>97</v>
      </c>
      <c r="BR25" s="205">
        <v>4500</v>
      </c>
      <c r="BS25" s="205">
        <v>164.4</v>
      </c>
      <c r="BT25" s="205">
        <f t="shared" si="28"/>
        <v>27.37226277372263</v>
      </c>
      <c r="BU25" s="171">
        <f t="shared" si="41"/>
        <v>375</v>
      </c>
      <c r="BV25" s="54">
        <f t="shared" si="30"/>
        <v>210.6</v>
      </c>
      <c r="BW25" s="172">
        <f t="shared" si="13"/>
        <v>10264.598540145986</v>
      </c>
      <c r="BX25" s="205">
        <f t="shared" si="31"/>
        <v>2052.9197080291974</v>
      </c>
      <c r="BY25" s="171">
        <f t="shared" si="32"/>
        <v>11529.197080291971</v>
      </c>
      <c r="BZ25" s="205"/>
      <c r="CA25" s="205"/>
      <c r="CB25" s="205"/>
      <c r="CC25" s="237"/>
      <c r="CD25" s="238">
        <f t="shared" si="40"/>
        <v>23846.715328467155</v>
      </c>
      <c r="CE25" s="239">
        <f t="shared" si="5"/>
        <v>23846.715328467155</v>
      </c>
      <c r="CF25" s="240">
        <v>0</v>
      </c>
      <c r="CG25" s="240">
        <f t="shared" si="33"/>
        <v>23846.715328467155</v>
      </c>
      <c r="CH25" s="240">
        <f t="shared" si="34"/>
        <v>3100.07299270073</v>
      </c>
      <c r="CI25" s="240">
        <f t="shared" si="35"/>
        <v>20746.642335766424</v>
      </c>
      <c r="CJ25" s="241">
        <v>7000</v>
      </c>
      <c r="CK25" s="240">
        <f>CE25*25%</f>
        <v>5961.678832116789</v>
      </c>
      <c r="CL25" s="240">
        <f t="shared" si="36"/>
        <v>7784.963503649636</v>
      </c>
      <c r="CM25" s="242">
        <f t="shared" si="14"/>
        <v>5246.277372262774</v>
      </c>
      <c r="CN25" s="243">
        <f t="shared" si="15"/>
        <v>47.69343065693431</v>
      </c>
      <c r="CO25" s="243">
        <f t="shared" si="16"/>
        <v>691.5547445255474</v>
      </c>
      <c r="CP25" s="61">
        <f t="shared" si="17"/>
        <v>1216.1824817518248</v>
      </c>
      <c r="CQ25" s="160"/>
      <c r="CR25" s="161"/>
      <c r="CS25" s="177"/>
      <c r="CT25" s="177"/>
      <c r="CU25" s="177"/>
      <c r="CV25" s="177"/>
      <c r="CW25" s="177"/>
    </row>
    <row r="26" ht="9" customHeight="1" spans="1:101" x14ac:dyDescent="0.25">
      <c r="A26" s="214">
        <v>20</v>
      </c>
      <c r="B26" s="244" t="s">
        <v>98</v>
      </c>
      <c r="C26" s="245"/>
      <c r="D26" s="246"/>
      <c r="E26" s="246"/>
      <c r="F26" s="247"/>
      <c r="G26" s="247"/>
      <c r="H26" s="246"/>
      <c r="I26" s="246"/>
      <c r="J26" s="246"/>
      <c r="K26" s="246"/>
      <c r="L26" s="247"/>
      <c r="M26" s="247"/>
      <c r="N26" s="247"/>
      <c r="O26" s="247"/>
      <c r="P26" s="246"/>
      <c r="Q26" s="246"/>
      <c r="R26" s="247"/>
      <c r="S26" s="247"/>
      <c r="T26" s="246"/>
      <c r="U26" s="246"/>
      <c r="V26" s="246"/>
      <c r="W26" s="246"/>
      <c r="X26" s="247"/>
      <c r="Y26" s="247"/>
      <c r="Z26" s="247"/>
      <c r="AA26" s="246"/>
      <c r="AB26" s="246"/>
      <c r="AC26" s="246"/>
      <c r="AD26" s="247"/>
      <c r="AE26" s="247"/>
      <c r="AF26" s="246"/>
      <c r="AG26" s="246"/>
      <c r="AH26" s="246"/>
      <c r="AI26" s="246"/>
      <c r="AJ26" s="247"/>
      <c r="AK26" s="247"/>
      <c r="AL26" s="247"/>
      <c r="AM26" s="247"/>
      <c r="AN26" s="246"/>
      <c r="AO26" s="246"/>
      <c r="AP26" s="247"/>
      <c r="AQ26" s="247"/>
      <c r="AR26" s="246"/>
      <c r="AS26" s="246"/>
      <c r="AT26" s="246"/>
      <c r="AU26" s="246"/>
      <c r="AV26" s="248"/>
      <c r="AW26" s="248"/>
      <c r="AX26" s="248"/>
      <c r="AY26" s="248"/>
      <c r="AZ26" s="249"/>
      <c r="BA26" s="249"/>
      <c r="BB26" s="248"/>
      <c r="BC26" s="248"/>
      <c r="BD26" s="249"/>
      <c r="BE26" s="249"/>
      <c r="BF26" s="249"/>
      <c r="BG26" s="249"/>
      <c r="BH26" s="248"/>
      <c r="BI26" s="248"/>
      <c r="BJ26" s="248"/>
      <c r="BK26" s="249"/>
      <c r="BL26" s="250"/>
      <c r="BM26" s="251">
        <f t="shared" ref="BM26:BM28" si="42">C26+E26+G26+I26+K26+M26+O26+Q26+S26+U26+W26+Y26+AA26+AC26+AE26+AG26+AI26+AK26+AM26+AO26+AQ26+AS26+AU26+AW26+AY26+BA26+BC26+BE26+BG26+BI26+BK26</f>
        <v>0</v>
      </c>
      <c r="BN26" s="251">
        <f t="shared" si="39"/>
        <v>0</v>
      </c>
      <c r="BO26" s="252">
        <f t="shared" si="20"/>
        <v>0</v>
      </c>
      <c r="BP26" s="253">
        <v>20</v>
      </c>
      <c r="BQ26" s="244" t="s">
        <v>99</v>
      </c>
      <c r="BR26" s="191">
        <v>4500</v>
      </c>
      <c r="BS26" s="191">
        <v>164.4</v>
      </c>
      <c r="BT26" s="191">
        <f t="shared" si="28"/>
        <v>27.37226277372263</v>
      </c>
      <c r="BU26" s="184">
        <f t="shared" si="41"/>
        <v>0</v>
      </c>
      <c r="BV26" s="98">
        <v>0</v>
      </c>
      <c r="BW26" s="185">
        <f t="shared" si="13"/>
        <v>0</v>
      </c>
      <c r="BX26" s="191">
        <f t="shared" si="31"/>
        <v>0</v>
      </c>
      <c r="BY26" s="184">
        <f t="shared" si="32"/>
        <v>0</v>
      </c>
      <c r="BZ26" s="191"/>
      <c r="CA26" s="191"/>
      <c r="CB26" s="191"/>
      <c r="CC26" s="254"/>
      <c r="CD26" s="255">
        <f t="shared" si="21"/>
        <v>0</v>
      </c>
      <c r="CE26" s="223">
        <f t="shared" si="5"/>
        <v>0</v>
      </c>
      <c r="CF26" s="186">
        <v>0</v>
      </c>
      <c r="CG26" s="186">
        <f t="shared" si="33"/>
        <v>0</v>
      </c>
      <c r="CH26" s="186">
        <f t="shared" si="34"/>
        <v>0</v>
      </c>
      <c r="CI26" s="186">
        <f t="shared" si="35"/>
        <v>0</v>
      </c>
      <c r="CJ26" s="224">
        <v>0</v>
      </c>
      <c r="CK26" s="186"/>
      <c r="CL26" s="186">
        <f t="shared" si="36"/>
        <v>0</v>
      </c>
      <c r="CM26" s="60">
        <f>CE26*22%</f>
        <v>0</v>
      </c>
      <c r="CN26" s="61">
        <f t="shared" si="15"/>
        <v>0</v>
      </c>
      <c r="CO26" s="61">
        <f t="shared" si="16"/>
        <v>0</v>
      </c>
      <c r="CP26" s="61">
        <f t="shared" si="17"/>
        <v>0</v>
      </c>
      <c r="CQ26" s="160"/>
      <c r="CR26" s="161"/>
      <c r="CS26" s="177"/>
      <c r="CT26" s="177"/>
      <c r="CU26" s="177"/>
      <c r="CV26" s="177"/>
      <c r="CW26" s="177"/>
    </row>
    <row r="27" ht="9" customHeight="1" spans="1:101" x14ac:dyDescent="0.25">
      <c r="A27" s="62">
        <v>21</v>
      </c>
      <c r="B27" s="63" t="s">
        <v>100</v>
      </c>
      <c r="C27" s="256"/>
      <c r="D27" s="257"/>
      <c r="E27" s="258"/>
      <c r="F27" s="259"/>
      <c r="G27" s="260"/>
      <c r="H27" s="257"/>
      <c r="I27" s="260"/>
      <c r="J27" s="257"/>
      <c r="K27" s="258"/>
      <c r="L27" s="259"/>
      <c r="M27" s="258"/>
      <c r="N27" s="259"/>
      <c r="O27" s="260"/>
      <c r="P27" s="257"/>
      <c r="Q27" s="258"/>
      <c r="R27" s="259"/>
      <c r="S27" s="260"/>
      <c r="T27" s="257"/>
      <c r="U27" s="260"/>
      <c r="V27" s="257"/>
      <c r="W27" s="258"/>
      <c r="X27" s="259"/>
      <c r="Y27" s="258"/>
      <c r="Z27" s="257"/>
      <c r="AA27" s="260"/>
      <c r="AB27" s="257"/>
      <c r="AC27" s="258"/>
      <c r="AD27" s="259"/>
      <c r="AE27" s="260"/>
      <c r="AF27" s="257"/>
      <c r="AG27" s="260"/>
      <c r="AH27" s="257"/>
      <c r="AI27" s="258"/>
      <c r="AJ27" s="259"/>
      <c r="AK27" s="258"/>
      <c r="AL27" s="259"/>
      <c r="AM27" s="260"/>
      <c r="AN27" s="257"/>
      <c r="AO27" s="258"/>
      <c r="AP27" s="259"/>
      <c r="AQ27" s="260"/>
      <c r="AR27" s="257"/>
      <c r="AS27" s="260"/>
      <c r="AT27" s="257"/>
      <c r="AU27" s="258"/>
      <c r="AV27" s="259"/>
      <c r="AW27" s="258"/>
      <c r="AX27" s="259"/>
      <c r="AY27" s="260"/>
      <c r="AZ27" s="257"/>
      <c r="BA27" s="258"/>
      <c r="BB27" s="259"/>
      <c r="BC27" s="260"/>
      <c r="BD27" s="257"/>
      <c r="BE27" s="260"/>
      <c r="BF27" s="257"/>
      <c r="BG27" s="258"/>
      <c r="BH27" s="259"/>
      <c r="BI27" s="258"/>
      <c r="BJ27" s="257"/>
      <c r="BK27" s="260"/>
      <c r="BL27" s="261"/>
      <c r="BM27" s="262">
        <f t="shared" si="42"/>
        <v>303</v>
      </c>
      <c r="BN27" s="262">
        <f t="shared" ref="BN27:BN28" si="43">D27+F27+H27+J27+L27+N27+P27+R27+T27+V27+X27+Z27+AB27+AD27+AF27+AH27+AJ27+AL27+AN27+AP27+AR27+AT27+AV27+AX27+AZ27+BB27+BD27+BF27+BH27+BJ27+BL27</f>
        <v>0</v>
      </c>
      <c r="BO27" s="235">
        <f t="shared" si="20"/>
        <v>303</v>
      </c>
      <c r="BP27" s="62">
        <v>21</v>
      </c>
      <c r="BQ27" s="63" t="s">
        <v>101</v>
      </c>
      <c r="BR27" s="208">
        <v>4500</v>
      </c>
      <c r="BS27" s="208">
        <v>164.4</v>
      </c>
      <c r="BT27" s="208">
        <f t="shared" si="28"/>
        <v>27.37226277372263</v>
      </c>
      <c r="BU27" s="171">
        <f t="shared" si="41"/>
        <v>303</v>
      </c>
      <c r="BV27" s="54">
        <f t="shared" si="30"/>
        <v>138.6</v>
      </c>
      <c r="BW27" s="172">
        <f t="shared" si="13"/>
        <v>8293.795620437957</v>
      </c>
      <c r="BX27" s="208">
        <f t="shared" si="31"/>
        <v>1658.7591240875915</v>
      </c>
      <c r="BY27" s="171">
        <f t="shared" si="32"/>
        <v>7587.591240875912</v>
      </c>
      <c r="BZ27" s="205"/>
      <c r="CA27" s="205"/>
      <c r="CB27" s="205"/>
      <c r="CC27" s="205"/>
      <c r="CD27" s="263">
        <f t="shared" si="21"/>
        <v>17540.14598540146</v>
      </c>
      <c r="CE27" s="211">
        <f t="shared" si="5"/>
        <v>17540.14598540146</v>
      </c>
      <c r="CF27" s="205">
        <v>0</v>
      </c>
      <c r="CG27" s="205">
        <f t="shared" si="33"/>
        <v>17540.14598540146</v>
      </c>
      <c r="CH27" s="205">
        <f t="shared" si="34"/>
        <v>2280.21897810219</v>
      </c>
      <c r="CI27" s="205">
        <f t="shared" si="35"/>
        <v>15259.927007299271</v>
      </c>
      <c r="CJ27" s="212">
        <v>7000</v>
      </c>
      <c r="CK27" s="208"/>
      <c r="CL27" s="205">
        <f t="shared" si="36"/>
        <v>8259.927007299271</v>
      </c>
      <c r="CM27" s="60">
        <f t="shared" ref="CM27:CM29" si="44">CE27*22%</f>
        <v>3858.8321167883214</v>
      </c>
      <c r="CN27" s="61">
        <f t="shared" si="15"/>
        <v>35.080291970802925</v>
      </c>
      <c r="CO27" s="61">
        <f t="shared" si="16"/>
        <v>508.66423357664235</v>
      </c>
      <c r="CP27" s="61">
        <f t="shared" si="17"/>
        <v>894.5474452554745</v>
      </c>
      <c r="CQ27" s="160"/>
      <c r="CR27" s="161"/>
      <c r="CS27" s="177"/>
      <c r="CT27" s="177"/>
      <c r="CU27" s="177"/>
      <c r="CV27" s="177"/>
      <c r="CW27" s="177"/>
    </row>
    <row r="28" ht="9" customHeight="1" spans="1:101" x14ac:dyDescent="0.25">
      <c r="A28" s="62">
        <v>22</v>
      </c>
      <c r="B28" s="63" t="s">
        <v>102</v>
      </c>
      <c r="C28" s="45"/>
      <c r="D28" s="256"/>
      <c r="E28" s="47"/>
      <c r="F28" s="264"/>
      <c r="G28" s="45"/>
      <c r="H28" s="256"/>
      <c r="I28" s="45"/>
      <c r="J28" s="256"/>
      <c r="K28" s="47"/>
      <c r="L28" s="264"/>
      <c r="M28" s="47"/>
      <c r="N28" s="264"/>
      <c r="O28" s="45"/>
      <c r="P28" s="256"/>
      <c r="Q28" s="47"/>
      <c r="R28" s="264"/>
      <c r="S28" s="45"/>
      <c r="T28" s="256"/>
      <c r="U28" s="45"/>
      <c r="V28" s="256"/>
      <c r="W28" s="47"/>
      <c r="X28" s="264"/>
      <c r="Y28" s="47"/>
      <c r="Z28" s="256"/>
      <c r="AA28" s="45"/>
      <c r="AB28" s="256"/>
      <c r="AC28" s="47"/>
      <c r="AD28" s="264"/>
      <c r="AE28" s="45"/>
      <c r="AF28" s="256"/>
      <c r="AG28" s="45"/>
      <c r="AH28" s="256"/>
      <c r="AI28" s="47"/>
      <c r="AJ28" s="264"/>
      <c r="AK28" s="47"/>
      <c r="AL28" s="264"/>
      <c r="AM28" s="45"/>
      <c r="AN28" s="256"/>
      <c r="AO28" s="47"/>
      <c r="AP28" s="264"/>
      <c r="AQ28" s="45"/>
      <c r="AR28" s="256"/>
      <c r="AS28" s="45"/>
      <c r="AT28" s="256"/>
      <c r="AU28" s="47"/>
      <c r="AV28" s="264"/>
      <c r="AW28" s="47"/>
      <c r="AX28" s="264"/>
      <c r="AY28" s="45"/>
      <c r="AZ28" s="256"/>
      <c r="BA28" s="47"/>
      <c r="BB28" s="264"/>
      <c r="BC28" s="45"/>
      <c r="BD28" s="256"/>
      <c r="BE28" s="45"/>
      <c r="BF28" s="256"/>
      <c r="BG28" s="47"/>
      <c r="BH28" s="264"/>
      <c r="BI28" s="47"/>
      <c r="BJ28" s="256"/>
      <c r="BK28" s="45"/>
      <c r="BL28" s="265"/>
      <c r="BM28" s="262">
        <f t="shared" si="42"/>
        <v>0</v>
      </c>
      <c r="BN28" s="262">
        <f t="shared" si="43"/>
        <v>291</v>
      </c>
      <c r="BO28" s="235">
        <f t="shared" si="20"/>
        <v>291</v>
      </c>
      <c r="BP28" s="62">
        <v>22</v>
      </c>
      <c r="BQ28" s="266" t="s">
        <v>103</v>
      </c>
      <c r="BR28" s="208">
        <v>4500</v>
      </c>
      <c r="BS28" s="208">
        <v>164.4</v>
      </c>
      <c r="BT28" s="208">
        <f t="shared" si="28"/>
        <v>27.37226277372263</v>
      </c>
      <c r="BU28" s="171">
        <f t="shared" si="41"/>
        <v>291</v>
      </c>
      <c r="BV28" s="171">
        <f t="shared" si="30"/>
        <v>126.6</v>
      </c>
      <c r="BW28" s="172">
        <f t="shared" si="13"/>
        <v>7965.328467153285</v>
      </c>
      <c r="BX28" s="208">
        <f t="shared" si="31"/>
        <v>1593.0656934306571</v>
      </c>
      <c r="BY28" s="208">
        <f t="shared" si="32"/>
        <v>6930.656934306569</v>
      </c>
      <c r="BZ28" s="205"/>
      <c r="CA28" s="205"/>
      <c r="CB28" s="205"/>
      <c r="CC28" s="205"/>
      <c r="CD28" s="263">
        <f t="shared" si="21"/>
        <v>16489.051094890514</v>
      </c>
      <c r="CE28" s="211">
        <f t="shared" si="5"/>
        <v>16489.051094890514</v>
      </c>
      <c r="CF28" s="205">
        <v>0</v>
      </c>
      <c r="CG28" s="205">
        <f t="shared" si="33"/>
        <v>16489.051094890514</v>
      </c>
      <c r="CH28" s="205">
        <f t="shared" si="34"/>
        <v>2143.576642335767</v>
      </c>
      <c r="CI28" s="205">
        <f t="shared" si="35"/>
        <v>14345.474452554747</v>
      </c>
      <c r="CJ28" s="212">
        <v>7000</v>
      </c>
      <c r="CK28" s="208"/>
      <c r="CL28" s="205">
        <f t="shared" si="36"/>
        <v>7345.474452554747</v>
      </c>
      <c r="CM28" s="60">
        <f t="shared" si="44"/>
        <v>3627.591240875913</v>
      </c>
      <c r="CN28" s="61">
        <f t="shared" si="15"/>
        <v>32.978102189781026</v>
      </c>
      <c r="CO28" s="61">
        <f t="shared" si="16"/>
        <v>478.18248175182487</v>
      </c>
      <c r="CP28" s="61">
        <f t="shared" si="17"/>
        <v>840.9416058394162</v>
      </c>
      <c r="CQ28" s="160"/>
      <c r="CR28" s="161"/>
      <c r="CS28" s="177"/>
      <c r="CT28" s="177"/>
      <c r="CU28" s="177"/>
      <c r="CV28" s="177"/>
      <c r="CW28" s="177"/>
    </row>
    <row r="29" ht="9" customHeight="1" spans="1:101" x14ac:dyDescent="0.25">
      <c r="A29" s="267">
        <v>0</v>
      </c>
      <c r="B29" s="268" t="s">
        <v>104</v>
      </c>
      <c r="C29" s="269"/>
      <c r="D29" s="270"/>
      <c r="E29" s="271"/>
      <c r="F29" s="271"/>
      <c r="G29" s="270"/>
      <c r="H29" s="270"/>
      <c r="I29" s="270"/>
      <c r="J29" s="270"/>
      <c r="K29" s="271"/>
      <c r="L29" s="271"/>
      <c r="M29" s="271"/>
      <c r="N29" s="271"/>
      <c r="O29" s="270"/>
      <c r="P29" s="270"/>
      <c r="Q29" s="271"/>
      <c r="R29" s="271"/>
      <c r="S29" s="270"/>
      <c r="T29" s="270"/>
      <c r="U29" s="270"/>
      <c r="V29" s="270"/>
      <c r="W29" s="271"/>
      <c r="X29" s="271"/>
      <c r="Y29" s="271"/>
      <c r="Z29" s="270"/>
      <c r="AA29" s="270"/>
      <c r="AB29" s="270"/>
      <c r="AC29" s="271"/>
      <c r="AD29" s="271"/>
      <c r="AE29" s="270"/>
      <c r="AF29" s="270"/>
      <c r="AG29" s="270"/>
      <c r="AH29" s="270"/>
      <c r="AI29" s="271"/>
      <c r="AJ29" s="271"/>
      <c r="AK29" s="271"/>
      <c r="AL29" s="271"/>
      <c r="AM29" s="270"/>
      <c r="AN29" s="270"/>
      <c r="AO29" s="271"/>
      <c r="AP29" s="271"/>
      <c r="AQ29" s="270"/>
      <c r="AR29" s="270"/>
      <c r="AS29" s="270"/>
      <c r="AT29" s="270"/>
      <c r="AU29" s="271"/>
      <c r="AV29" s="271"/>
      <c r="AW29" s="271"/>
      <c r="AX29" s="271"/>
      <c r="AY29" s="270"/>
      <c r="AZ29" s="270"/>
      <c r="BA29" s="271"/>
      <c r="BB29" s="271"/>
      <c r="BC29" s="270"/>
      <c r="BD29" s="270"/>
      <c r="BE29" s="270"/>
      <c r="BF29" s="270"/>
      <c r="BG29" s="271"/>
      <c r="BH29" s="271"/>
      <c r="BI29" s="271"/>
      <c r="BJ29" s="270"/>
      <c r="BK29" s="270"/>
      <c r="BL29" s="270"/>
      <c r="BM29" s="272">
        <f t="shared" si="18"/>
        <v>0</v>
      </c>
      <c r="BN29" s="272">
        <f t="shared" si="19"/>
        <v>0</v>
      </c>
      <c r="BO29" s="273">
        <f t="shared" si="20"/>
        <v>0</v>
      </c>
      <c r="BP29" s="267">
        <v>24</v>
      </c>
      <c r="BQ29" s="274" t="s">
        <v>105</v>
      </c>
      <c r="BR29" s="275">
        <v>0</v>
      </c>
      <c r="BS29" s="275">
        <v>164.4</v>
      </c>
      <c r="BT29" s="275">
        <f>BR29/BS29</f>
        <v>0</v>
      </c>
      <c r="BU29" s="275">
        <v>0</v>
      </c>
      <c r="BV29" s="275">
        <v>0</v>
      </c>
      <c r="BW29" s="276">
        <f>BT29*BU29</f>
        <v>0</v>
      </c>
      <c r="BX29" s="275">
        <v>0</v>
      </c>
      <c r="BY29" s="275">
        <v>24000</v>
      </c>
      <c r="BZ29" s="277">
        <v>0</v>
      </c>
      <c r="CA29" s="275"/>
      <c r="CB29" s="275"/>
      <c r="CC29" s="275"/>
      <c r="CD29" s="278">
        <v>0</v>
      </c>
      <c r="CE29" s="279">
        <f t="shared" si="5"/>
        <v>0</v>
      </c>
      <c r="CF29" s="275">
        <v>0</v>
      </c>
      <c r="CG29" s="275">
        <f t="shared" si="33"/>
        <v>0</v>
      </c>
      <c r="CH29" s="275">
        <f t="shared" si="34"/>
        <v>0</v>
      </c>
      <c r="CI29" s="275">
        <f t="shared" si="35"/>
        <v>0</v>
      </c>
      <c r="CJ29" s="280">
        <v>0</v>
      </c>
      <c r="CK29" s="281"/>
      <c r="CL29" s="275">
        <f t="shared" si="36"/>
        <v>0</v>
      </c>
      <c r="CM29" s="60">
        <f t="shared" si="44"/>
        <v>0</v>
      </c>
      <c r="CN29" s="61">
        <f t="shared" si="15"/>
        <v>0</v>
      </c>
      <c r="CO29" s="61">
        <f t="shared" si="16"/>
        <v>0</v>
      </c>
      <c r="CP29" s="61">
        <f t="shared" si="17"/>
        <v>0</v>
      </c>
      <c r="CQ29" s="160"/>
      <c r="CR29" s="161"/>
      <c r="CS29" s="177"/>
      <c r="CT29" s="177"/>
      <c r="CU29" s="177"/>
      <c r="CV29" s="177"/>
      <c r="CW29" s="177"/>
    </row>
    <row r="30" ht="9" customHeight="1" spans="1:101" x14ac:dyDescent="0.25">
      <c r="A30" s="236">
        <v>24</v>
      </c>
      <c r="B30" s="282" t="s">
        <v>106</v>
      </c>
      <c r="C30" s="283"/>
      <c r="D30" s="283"/>
      <c r="E30" s="284"/>
      <c r="F30" s="283"/>
      <c r="G30" s="283"/>
      <c r="H30" s="283"/>
      <c r="I30" s="283"/>
      <c r="J30" s="283"/>
      <c r="K30" s="283"/>
      <c r="L30" s="283"/>
      <c r="M30" s="283"/>
      <c r="N30" s="283"/>
      <c r="O30" s="283"/>
      <c r="P30" s="283"/>
      <c r="Q30" s="283"/>
      <c r="R30" s="283"/>
      <c r="S30" s="283"/>
      <c r="T30" s="283"/>
      <c r="U30" s="283"/>
      <c r="V30" s="283"/>
      <c r="W30" s="283"/>
      <c r="X30" s="283"/>
      <c r="Y30" s="283"/>
      <c r="Z30" s="283"/>
      <c r="AA30" s="283"/>
      <c r="AB30" s="283"/>
      <c r="AC30" s="283"/>
      <c r="AD30" s="283"/>
      <c r="AE30" s="283"/>
      <c r="AF30" s="283"/>
      <c r="AG30" s="283"/>
      <c r="AH30" s="283"/>
      <c r="AI30" s="283"/>
      <c r="AJ30" s="283"/>
      <c r="AK30" s="283"/>
      <c r="AL30" s="283"/>
      <c r="AM30" s="283"/>
      <c r="AN30" s="283"/>
      <c r="AO30" s="283"/>
      <c r="AP30" s="283"/>
      <c r="AQ30" s="283"/>
      <c r="AR30" s="283"/>
      <c r="AS30" s="283"/>
      <c r="AT30" s="283"/>
      <c r="AU30" s="283"/>
      <c r="AV30" s="283"/>
      <c r="AW30" s="283"/>
      <c r="AX30" s="283"/>
      <c r="AY30" s="283"/>
      <c r="AZ30" s="283"/>
      <c r="BA30" s="283"/>
      <c r="BB30" s="283"/>
      <c r="BC30" s="283"/>
      <c r="BD30" s="283"/>
      <c r="BE30" s="283"/>
      <c r="BF30" s="283"/>
      <c r="BG30" s="283"/>
      <c r="BH30" s="283"/>
      <c r="BI30" s="283"/>
      <c r="BJ30" s="283"/>
      <c r="BK30" s="283"/>
      <c r="BL30" s="283"/>
      <c r="BM30" s="234">
        <f t="shared" si="18"/>
        <v>0</v>
      </c>
      <c r="BN30" s="285">
        <f t="shared" si="19"/>
        <v>0</v>
      </c>
      <c r="BO30" s="286">
        <f t="shared" si="20"/>
        <v>0</v>
      </c>
      <c r="BP30" s="287">
        <v>25</v>
      </c>
      <c r="BQ30" s="288" t="s">
        <v>106</v>
      </c>
      <c r="BR30" s="289">
        <v>0</v>
      </c>
      <c r="BS30" s="290">
        <v>164.4</v>
      </c>
      <c r="BT30" s="289">
        <f>BR30/BS30</f>
        <v>0</v>
      </c>
      <c r="BU30" s="289">
        <f>BS30</f>
        <v>164.4</v>
      </c>
      <c r="BV30" s="289">
        <v>0</v>
      </c>
      <c r="BW30" s="291">
        <f>BT30*BU30</f>
        <v>0</v>
      </c>
      <c r="BX30" s="289">
        <v>0</v>
      </c>
      <c r="BY30" s="289">
        <v>24000</v>
      </c>
      <c r="BZ30" s="289">
        <v>0</v>
      </c>
      <c r="CA30" s="289"/>
      <c r="CB30" s="289"/>
      <c r="CC30" s="290"/>
      <c r="CD30" s="292">
        <f t="shared" si="21"/>
        <v>24000</v>
      </c>
      <c r="CE30" s="293">
        <f t="shared" si="5"/>
        <v>24000</v>
      </c>
      <c r="CF30" s="294">
        <v>0</v>
      </c>
      <c r="CG30" s="294">
        <f t="shared" si="6"/>
        <v>24000</v>
      </c>
      <c r="CH30" s="294">
        <f t="shared" si="7"/>
        <v>3120</v>
      </c>
      <c r="CI30" s="294">
        <f t="shared" si="8"/>
        <v>20880</v>
      </c>
      <c r="CJ30" s="295">
        <v>7000</v>
      </c>
      <c r="CK30" s="294"/>
      <c r="CL30" s="294">
        <f>CI30-CJ30</f>
        <v>13880</v>
      </c>
      <c r="CM30" s="192">
        <f t="shared" si="14"/>
        <v>5280</v>
      </c>
      <c r="CN30" s="193">
        <f t="shared" si="15"/>
        <v>48</v>
      </c>
      <c r="CO30" s="193">
        <f t="shared" si="16"/>
        <v>696</v>
      </c>
      <c r="CP30" s="193">
        <f t="shared" si="17"/>
        <v>1224</v>
      </c>
      <c r="CQ30" s="296">
        <f>CL16+CL17+CL19+CL20</f>
        <v>64218.8860189781</v>
      </c>
      <c r="CR30" s="132" t="s">
        <v>107</v>
      </c>
      <c r="CS30" s="177"/>
      <c r="CT30" s="177"/>
      <c r="CU30" s="177"/>
      <c r="CV30" s="177"/>
      <c r="CW30" s="177"/>
    </row>
    <row r="31" ht="9" customHeight="1" spans="1:101" x14ac:dyDescent="0.25">
      <c r="A31" s="297"/>
      <c r="B31" s="298"/>
      <c r="C31" s="232"/>
      <c r="D31" s="232"/>
      <c r="E31" s="229"/>
      <c r="F31" s="229"/>
      <c r="G31" s="232"/>
      <c r="H31" s="232"/>
      <c r="I31" s="232"/>
      <c r="J31" s="232"/>
      <c r="K31" s="229"/>
      <c r="L31" s="229"/>
      <c r="M31" s="229"/>
      <c r="N31" s="229"/>
      <c r="O31" s="232"/>
      <c r="P31" s="232"/>
      <c r="Q31" s="232"/>
      <c r="R31" s="229"/>
      <c r="S31" s="229"/>
      <c r="T31" s="232"/>
      <c r="U31" s="232"/>
      <c r="V31" s="232"/>
      <c r="W31" s="232"/>
      <c r="X31" s="229"/>
      <c r="Y31" s="229"/>
      <c r="Z31" s="229"/>
      <c r="AA31" s="232"/>
      <c r="AB31" s="232"/>
      <c r="AC31" s="232"/>
      <c r="AD31" s="229"/>
      <c r="AE31" s="229"/>
      <c r="AF31" s="232"/>
      <c r="AG31" s="232"/>
      <c r="AH31" s="232"/>
      <c r="AI31" s="232"/>
      <c r="AJ31" s="229"/>
      <c r="AK31" s="229"/>
      <c r="AL31" s="229"/>
      <c r="AM31" s="229"/>
      <c r="AN31" s="232"/>
      <c r="AO31" s="232"/>
      <c r="AP31" s="229"/>
      <c r="AQ31" s="229"/>
      <c r="AR31" s="232"/>
      <c r="AS31" s="232"/>
      <c r="AT31" s="232"/>
      <c r="AU31" s="232"/>
      <c r="AV31" s="229"/>
      <c r="AW31" s="229"/>
      <c r="AX31" s="229"/>
      <c r="AY31" s="229"/>
      <c r="AZ31" s="232"/>
      <c r="BA31" s="232"/>
      <c r="BB31" s="229"/>
      <c r="BC31" s="229"/>
      <c r="BD31" s="232"/>
      <c r="BE31" s="232"/>
      <c r="BF31" s="232"/>
      <c r="BG31" s="232"/>
      <c r="BH31" s="229"/>
      <c r="BI31" s="229"/>
      <c r="BJ31" s="229"/>
      <c r="BK31" s="232"/>
      <c r="BL31" s="232"/>
      <c r="BM31" s="299"/>
      <c r="BN31" s="299"/>
      <c r="BO31" s="300"/>
      <c r="BP31" s="301"/>
      <c r="BQ31" s="302"/>
      <c r="BR31" s="303"/>
      <c r="BS31" s="304"/>
      <c r="BT31" s="304"/>
      <c r="BU31" s="305"/>
      <c r="BV31" s="304"/>
      <c r="BW31" s="171"/>
      <c r="BX31" s="171"/>
      <c r="BY31" s="171"/>
      <c r="BZ31" s="306"/>
      <c r="CA31" s="306"/>
      <c r="CB31" s="306">
        <f t="shared" ref="CB31:CJ31" si="45">SUM(CB6:CB30)</f>
        <v>42733.03999999999</v>
      </c>
      <c r="CC31" s="307">
        <f t="shared" si="45"/>
        <v>394.53</v>
      </c>
      <c r="CD31" s="308">
        <f t="shared" si="45"/>
        <v>365323.3698540146</v>
      </c>
      <c r="CE31" s="309">
        <f t="shared" si="45"/>
        <v>364928.8398540146</v>
      </c>
      <c r="CF31" s="310">
        <f t="shared" si="45"/>
        <v>2800</v>
      </c>
      <c r="CG31" s="311">
        <f t="shared" si="45"/>
        <v>362128.8398540146</v>
      </c>
      <c r="CH31" s="312">
        <f t="shared" si="45"/>
        <v>47076.7491810219</v>
      </c>
      <c r="CI31" s="311">
        <f t="shared" si="45"/>
        <v>318246.6206729927</v>
      </c>
      <c r="CJ31" s="310">
        <f t="shared" si="45"/>
        <v>119000</v>
      </c>
      <c r="CK31" s="312">
        <f>SUM(CK6:CK30)</f>
        <v>5961.678832116789</v>
      </c>
      <c r="CL31" s="311">
        <f>SUM(CL6:CL30)</f>
        <v>193284.9418408759</v>
      </c>
      <c r="CM31" s="313">
        <f>SUM(CM6:CM30)</f>
        <v>80284.34476788322</v>
      </c>
      <c r="CN31" s="314">
        <f>SUM(CN6:CN30)</f>
        <v>729.8576797080291</v>
      </c>
      <c r="CO31" s="314">
        <f>SUM(CO6:CO30)</f>
        <v>10582.936355766424</v>
      </c>
      <c r="CP31" s="315">
        <f>SUM(CP6:CP30)</f>
        <v>18611.37083255474</v>
      </c>
      <c r="CQ31" s="316">
        <f>CL31-CQ30</f>
        <v>129066.0558218978</v>
      </c>
      <c r="CR31" s="317" t="s">
        <v>108</v>
      </c>
      <c r="CS31" s="177"/>
      <c r="CT31" s="177"/>
      <c r="CU31" s="177"/>
      <c r="CV31" s="177"/>
      <c r="CW31" s="177"/>
    </row>
    <row r="32" ht="9" customHeight="1" spans="2:101" x14ac:dyDescent="0.25">
      <c r="B32" s="318"/>
      <c r="C32" s="319"/>
      <c r="D32" s="319"/>
      <c r="E32" s="320"/>
      <c r="F32" s="321"/>
      <c r="G32" s="322"/>
      <c r="H32" s="323"/>
      <c r="I32" s="324"/>
      <c r="J32" s="324"/>
      <c r="K32" s="324"/>
      <c r="L32" s="324"/>
      <c r="M32" s="325"/>
      <c r="N32" s="326"/>
      <c r="O32" s="327" t="e">
        <f>BM21+#REF!</f>
        <v>#REF!</v>
      </c>
      <c r="P32" s="328" t="s">
        <v>109</v>
      </c>
      <c r="Q32" s="329" t="s">
        <v>110</v>
      </c>
      <c r="R32" s="330"/>
      <c r="S32" s="330"/>
      <c r="T32" s="330"/>
      <c r="U32" s="331"/>
      <c r="V32" s="332">
        <v>772</v>
      </c>
      <c r="W32" s="332"/>
      <c r="X32" s="333" t="s">
        <v>111</v>
      </c>
      <c r="Y32" s="333"/>
      <c r="Z32" s="333">
        <v>800</v>
      </c>
      <c r="AA32" s="333"/>
      <c r="AB32" s="334" t="s">
        <v>112</v>
      </c>
      <c r="AC32" s="334"/>
      <c r="AD32" s="334"/>
      <c r="AE32" s="334"/>
      <c r="AF32" s="334"/>
      <c r="AG32" s="335"/>
      <c r="AH32" s="335"/>
      <c r="AI32" s="335"/>
      <c r="AJ32" s="335"/>
      <c r="AK32" s="335"/>
      <c r="AL32" s="335"/>
      <c r="AM32" s="335"/>
      <c r="AN32" s="335"/>
      <c r="AO32" s="335"/>
      <c r="AP32" s="335"/>
      <c r="AQ32" s="335"/>
      <c r="AR32" s="335"/>
      <c r="AS32" s="335"/>
      <c r="AT32" s="335"/>
      <c r="AU32" s="335"/>
      <c r="AV32" s="335"/>
      <c r="AW32" s="335"/>
      <c r="AX32" s="335"/>
      <c r="AY32" s="335"/>
      <c r="AZ32" s="335"/>
      <c r="BA32" s="335"/>
      <c r="BB32" s="335"/>
      <c r="BC32" s="335"/>
      <c r="BD32" s="335"/>
      <c r="BE32" s="335"/>
      <c r="BF32" s="335"/>
      <c r="BG32" s="335"/>
      <c r="BH32" s="335"/>
      <c r="BI32" s="335"/>
      <c r="BJ32" s="335"/>
      <c r="BK32" s="335"/>
      <c r="BL32" s="335"/>
      <c r="BM32" s="336">
        <f>SUM(BM6:BM31)</f>
        <v>3106</v>
      </c>
      <c r="BN32" s="336">
        <f>SUM(BN6:BN31)</f>
        <v>1788</v>
      </c>
      <c r="BO32" s="337">
        <f>SUM(BO6:BO31)</f>
        <v>4894</v>
      </c>
      <c r="BP32" s="338"/>
      <c r="BQ32" s="339"/>
      <c r="BR32" s="340"/>
      <c r="BS32" s="341"/>
      <c r="BT32" s="341"/>
      <c r="BU32" s="342">
        <f>SUM(BU6:BU31)-BU30</f>
        <v>4894</v>
      </c>
      <c r="BV32" s="341"/>
      <c r="BW32" s="205"/>
      <c r="BX32" s="237"/>
      <c r="BY32" s="343">
        <f>BY30-CD28</f>
        <v>7510.948905109486</v>
      </c>
      <c r="BZ32" s="344"/>
      <c r="CA32" s="345"/>
      <c r="CB32" s="178"/>
      <c r="CC32" s="346"/>
      <c r="CD32" s="347"/>
      <c r="CE32" s="348" t="s">
        <v>113</v>
      </c>
      <c r="CF32" s="349"/>
      <c r="CG32" s="350"/>
      <c r="CH32" s="351" t="s">
        <v>114</v>
      </c>
      <c r="CI32" s="352" t="s">
        <v>115</v>
      </c>
      <c r="CJ32" s="353"/>
      <c r="CK32" s="353" t="s">
        <v>116</v>
      </c>
      <c r="CL32" s="353"/>
      <c r="CM32" s="354" t="s">
        <v>117</v>
      </c>
      <c r="CN32" s="354" t="s">
        <v>118</v>
      </c>
      <c r="CO32" s="354" t="s">
        <v>119</v>
      </c>
      <c r="CP32" s="354" t="s">
        <v>120</v>
      </c>
      <c r="CS32" s="177"/>
      <c r="CT32" s="177"/>
      <c r="CU32" s="177"/>
      <c r="CV32" s="177"/>
      <c r="CW32" s="177"/>
    </row>
    <row r="33" ht="9" customHeight="1" spans="2:96" x14ac:dyDescent="0.25">
      <c r="B33" s="355"/>
      <c r="C33" s="356"/>
      <c r="D33" s="357"/>
      <c r="E33" s="358"/>
      <c r="F33" s="359">
        <v>0</v>
      </c>
      <c r="G33" s="360" t="s">
        <v>109</v>
      </c>
      <c r="H33" s="361"/>
      <c r="I33" s="362" t="s">
        <v>121</v>
      </c>
      <c r="J33" s="362"/>
      <c r="K33" s="362"/>
      <c r="L33" s="363"/>
      <c r="M33" s="364">
        <v>606</v>
      </c>
      <c r="N33" s="364"/>
      <c r="O33" s="365">
        <f>BM19+BN20</f>
        <v>682</v>
      </c>
      <c r="P33" s="366" t="s">
        <v>109</v>
      </c>
      <c r="Q33" s="367" t="s">
        <v>122</v>
      </c>
      <c r="R33" s="368"/>
      <c r="S33" s="368"/>
      <c r="T33" s="368"/>
      <c r="U33" s="369"/>
      <c r="V33" s="370">
        <v>262</v>
      </c>
      <c r="W33" s="370"/>
      <c r="X33" s="335"/>
      <c r="Y33" s="335"/>
      <c r="Z33" s="335"/>
      <c r="AA33" s="335"/>
      <c r="AB33" s="335"/>
      <c r="AC33" s="335"/>
      <c r="AD33" s="335"/>
      <c r="AE33" s="335"/>
      <c r="AF33" s="335"/>
      <c r="AG33" s="335"/>
      <c r="AH33" s="335"/>
      <c r="AI33" s="335"/>
      <c r="AJ33" s="335"/>
      <c r="AK33" s="371"/>
      <c r="AL33" s="372"/>
      <c r="AM33" s="372"/>
      <c r="AN33" s="372"/>
      <c r="AO33" s="372"/>
      <c r="AP33" s="335"/>
      <c r="AQ33" s="335"/>
      <c r="AR33" s="335"/>
      <c r="AS33" s="335"/>
      <c r="AT33" s="335"/>
      <c r="AU33" s="335"/>
      <c r="AV33" s="335"/>
      <c r="AW33" s="335"/>
      <c r="AX33" s="335"/>
      <c r="AY33" s="335"/>
      <c r="AZ33" s="335"/>
      <c r="BA33" s="335"/>
      <c r="BB33" s="335"/>
      <c r="BC33" s="335"/>
      <c r="BD33" s="335"/>
      <c r="BE33" s="335"/>
      <c r="BF33" s="335"/>
      <c r="BG33" s="335"/>
      <c r="BH33" s="335"/>
      <c r="BI33" s="335"/>
      <c r="BJ33" s="335"/>
      <c r="BK33" s="335"/>
      <c r="BL33" s="335"/>
      <c r="BM33" s="373"/>
      <c r="BN33" s="373"/>
      <c r="BO33" s="373"/>
      <c r="BP33" s="340"/>
      <c r="BQ33" s="340"/>
      <c r="BR33" s="340"/>
      <c r="BS33" s="340"/>
      <c r="BT33" s="340"/>
      <c r="BU33" s="340"/>
      <c r="BV33" s="205"/>
      <c r="BW33" s="205"/>
      <c r="BX33" s="374"/>
      <c r="BY33" s="375"/>
      <c r="BZ33" s="376"/>
      <c r="CA33" s="376"/>
      <c r="CB33" s="376"/>
      <c r="CC33" s="346"/>
      <c r="CD33" s="377"/>
      <c r="CE33" s="378"/>
      <c r="CF33" s="379"/>
      <c r="CG33" s="379"/>
      <c r="CH33" s="380"/>
      <c r="CI33" s="381"/>
      <c r="CJ33" s="382"/>
      <c r="CK33" s="383"/>
      <c r="CL33" s="384"/>
      <c r="CM33" s="385"/>
      <c r="CN33" s="386"/>
      <c r="CO33" s="387"/>
      <c r="CP33" s="388">
        <f>CM31+CO31+CP31</f>
        <v>109478.65195620438</v>
      </c>
      <c r="CQ33" s="389">
        <f>CQ15+CQ16+CQ17+CQ30+CQ31</f>
        <v>298284.9418408759</v>
      </c>
      <c r="CR33" s="390"/>
    </row>
    <row r="34" ht="11.5" customHeight="1" spans="1:94" x14ac:dyDescent="0.25">
      <c r="A34" s="391"/>
      <c r="B34" s="392"/>
      <c r="C34" s="335"/>
      <c r="D34" s="7"/>
      <c r="E34" s="7"/>
      <c r="F34" s="393">
        <v>0</v>
      </c>
      <c r="G34" s="394" t="s">
        <v>109</v>
      </c>
      <c r="H34" s="395"/>
      <c r="I34" s="396" t="s">
        <v>123</v>
      </c>
      <c r="J34" s="396"/>
      <c r="K34" s="396"/>
      <c r="L34" s="397"/>
      <c r="M34" s="364" t="s">
        <v>124</v>
      </c>
      <c r="N34" s="364"/>
      <c r="O34" s="398" t="e">
        <f>BM12+BN14+#REF!</f>
        <v>#REF!</v>
      </c>
      <c r="P34" s="399" t="s">
        <v>109</v>
      </c>
      <c r="Q34" s="400" t="s">
        <v>125</v>
      </c>
      <c r="R34" s="401"/>
      <c r="S34" s="401"/>
      <c r="T34" s="401"/>
      <c r="U34" s="402"/>
      <c r="V34" s="403">
        <v>396</v>
      </c>
      <c r="W34" s="403"/>
      <c r="X34" s="335"/>
      <c r="Y34" s="335"/>
      <c r="Z34" s="335"/>
      <c r="AA34" s="335"/>
      <c r="AB34" s="335"/>
      <c r="AC34" s="335"/>
      <c r="AD34" s="335"/>
      <c r="AE34" s="335"/>
      <c r="AF34" s="335"/>
      <c r="AG34" s="335"/>
      <c r="AH34" s="404" t="s">
        <v>126</v>
      </c>
      <c r="AI34" s="405"/>
      <c r="AJ34" s="405"/>
      <c r="AK34" s="405"/>
      <c r="AL34" s="405"/>
      <c r="AM34" s="405"/>
      <c r="AN34" s="405"/>
      <c r="AO34" s="405"/>
      <c r="AP34" s="405"/>
      <c r="AQ34" s="406" t="s">
        <v>127</v>
      </c>
      <c r="AR34" s="406"/>
      <c r="AS34" s="406"/>
      <c r="AT34" s="406"/>
      <c r="AU34" s="407"/>
      <c r="AV34" s="408"/>
      <c r="AW34" s="409" t="s">
        <v>128</v>
      </c>
      <c r="AX34" s="410"/>
      <c r="AY34" s="410"/>
      <c r="AZ34" s="410"/>
      <c r="BA34" s="410"/>
      <c r="BB34" s="410"/>
      <c r="BC34" s="410"/>
      <c r="BD34" s="411"/>
      <c r="BE34" s="412" t="s">
        <v>127</v>
      </c>
      <c r="BF34" s="413"/>
      <c r="BG34" s="413"/>
      <c r="BH34" s="414"/>
      <c r="BI34" s="415"/>
      <c r="BJ34" s="416"/>
      <c r="BK34" s="417"/>
      <c r="BL34" s="417"/>
      <c r="BM34" s="417" t="s">
        <v>129</v>
      </c>
      <c r="BN34" s="417"/>
      <c r="BO34" s="418"/>
      <c r="BP34" s="419"/>
      <c r="BQ34" s="420" t="s">
        <v>130</v>
      </c>
      <c r="BR34" s="420"/>
      <c r="BS34" s="421"/>
      <c r="BT34" s="420"/>
      <c r="BU34" s="420"/>
      <c r="BV34" s="422"/>
      <c r="BW34" s="423"/>
      <c r="BY34" s="424"/>
      <c r="BZ34" s="424"/>
      <c r="CA34" s="424"/>
      <c r="CB34" s="424"/>
      <c r="CC34" s="346"/>
      <c r="CD34" s="425"/>
      <c r="CE34" s="378"/>
      <c r="CF34" s="426"/>
      <c r="CG34" s="426"/>
      <c r="CH34" s="427"/>
      <c r="CI34" s="426"/>
      <c r="CJ34" s="428"/>
      <c r="CK34" s="429"/>
      <c r="CL34" s="430"/>
      <c r="CM34" s="431"/>
      <c r="CN34" s="432"/>
      <c r="CO34" s="433"/>
      <c r="CP34" s="40"/>
    </row>
    <row r="35" ht="10.25" customHeight="1" spans="1:94" x14ac:dyDescent="0.25">
      <c r="A35" s="391"/>
      <c r="B35" s="1" t="s">
        <v>131</v>
      </c>
      <c r="D35" s="7"/>
      <c r="E35" s="7"/>
      <c r="F35" s="434">
        <v>0</v>
      </c>
      <c r="G35" s="394" t="s">
        <v>109</v>
      </c>
      <c r="H35" s="435"/>
      <c r="I35" s="436" t="s">
        <v>132</v>
      </c>
      <c r="J35" s="436"/>
      <c r="K35" s="436"/>
      <c r="L35" s="437"/>
      <c r="M35" s="364">
        <v>426</v>
      </c>
      <c r="N35" s="364"/>
      <c r="O35" s="438">
        <f>BM10+BN23</f>
        <v>0</v>
      </c>
      <c r="P35" s="439" t="s">
        <v>109</v>
      </c>
      <c r="Q35" s="440" t="s">
        <v>133</v>
      </c>
      <c r="R35" s="441"/>
      <c r="S35" s="441"/>
      <c r="T35" s="441"/>
      <c r="U35" s="442"/>
      <c r="V35" s="370">
        <v>260</v>
      </c>
      <c r="W35" s="370"/>
      <c r="AH35" s="443"/>
      <c r="AI35" s="444"/>
      <c r="AJ35" s="445"/>
      <c r="AK35" s="445"/>
      <c r="AL35" s="445"/>
      <c r="AM35" s="445"/>
      <c r="AN35" s="445"/>
      <c r="AO35" s="445"/>
      <c r="AP35" s="446"/>
      <c r="AQ35" s="447"/>
      <c r="AR35" s="447"/>
      <c r="AS35" s="447"/>
      <c r="AT35" s="447"/>
      <c r="AU35" s="448"/>
      <c r="AV35" s="408"/>
      <c r="AW35" s="449"/>
      <c r="AX35" s="450" t="s">
        <v>134</v>
      </c>
      <c r="AY35" s="451"/>
      <c r="AZ35" s="451"/>
      <c r="BA35" s="451"/>
      <c r="BB35" s="451"/>
      <c r="BC35" s="451"/>
      <c r="BD35" s="452"/>
      <c r="BE35" s="453" t="s">
        <v>135</v>
      </c>
      <c r="BF35" s="454"/>
      <c r="BG35" s="454"/>
      <c r="BH35" s="455"/>
      <c r="BI35" s="408"/>
      <c r="BJ35" s="456"/>
      <c r="BK35" s="457"/>
      <c r="BL35" s="458"/>
      <c r="BM35" s="459"/>
      <c r="BN35" s="460" t="s">
        <v>136</v>
      </c>
      <c r="BO35" s="461" t="s">
        <v>137</v>
      </c>
      <c r="BP35" s="462"/>
      <c r="BQ35" s="463" t="s">
        <v>138</v>
      </c>
      <c r="BR35" s="464">
        <f>CH31</f>
        <v>47076.7491810219</v>
      </c>
      <c r="BS35" s="465"/>
      <c r="BT35" s="466"/>
      <c r="BU35" s="467"/>
      <c r="BV35" s="468"/>
      <c r="BW35" s="469"/>
      <c r="BX35" s="470"/>
      <c r="BY35" s="424"/>
      <c r="BZ35" s="424"/>
      <c r="CA35" s="424"/>
      <c r="CB35" s="424"/>
      <c r="CC35" s="346"/>
      <c r="CD35" s="471"/>
      <c r="CE35" s="472"/>
      <c r="CF35" s="473"/>
      <c r="CG35" s="473"/>
      <c r="CH35" s="473"/>
      <c r="CI35" s="473"/>
      <c r="CJ35" s="474"/>
      <c r="CK35" s="475"/>
      <c r="CL35" s="430"/>
      <c r="CM35" s="431"/>
      <c r="CN35" s="432"/>
      <c r="CO35" s="433"/>
      <c r="CP35" s="40"/>
    </row>
    <row r="36" ht="12" customHeight="1" spans="1:94" x14ac:dyDescent="0.25">
      <c r="A36" s="391"/>
      <c r="B36" s="1" t="s">
        <v>139</v>
      </c>
      <c r="D36" s="415"/>
      <c r="E36" s="415"/>
      <c r="F36" s="476">
        <f>BM27+BN28</f>
        <v>594</v>
      </c>
      <c r="G36" s="477" t="s">
        <v>109</v>
      </c>
      <c r="H36" s="478"/>
      <c r="I36" s="479" t="s">
        <v>140</v>
      </c>
      <c r="J36" s="479"/>
      <c r="K36" s="479"/>
      <c r="L36" s="480"/>
      <c r="M36" s="364">
        <v>277</v>
      </c>
      <c r="N36" s="364"/>
      <c r="O36" s="481">
        <f>BM25</f>
        <v>375</v>
      </c>
      <c r="P36" s="482" t="s">
        <v>109</v>
      </c>
      <c r="Q36" s="483" t="s">
        <v>141</v>
      </c>
      <c r="R36" s="484"/>
      <c r="S36" s="484"/>
      <c r="T36" s="484"/>
      <c r="U36" s="485"/>
      <c r="V36" s="403">
        <v>618</v>
      </c>
      <c r="W36" s="403"/>
      <c r="AH36" s="443"/>
      <c r="AI36" s="444"/>
      <c r="AJ36" s="445"/>
      <c r="AK36" s="445"/>
      <c r="AL36" s="445"/>
      <c r="AM36" s="445"/>
      <c r="AN36" s="445"/>
      <c r="AO36" s="445"/>
      <c r="AP36" s="446"/>
      <c r="AQ36" s="447"/>
      <c r="AR36" s="447"/>
      <c r="AS36" s="447"/>
      <c r="AT36" s="447"/>
      <c r="AU36" s="448"/>
      <c r="AV36" s="408"/>
      <c r="AW36" s="486"/>
      <c r="AX36" s="450" t="s">
        <v>142</v>
      </c>
      <c r="AY36" s="451"/>
      <c r="AZ36" s="451"/>
      <c r="BA36" s="451"/>
      <c r="BB36" s="451"/>
      <c r="BC36" s="451"/>
      <c r="BD36" s="452"/>
      <c r="BE36" s="487"/>
      <c r="BF36" s="488"/>
      <c r="BG36" s="488"/>
      <c r="BH36" s="489"/>
      <c r="BI36" s="408"/>
      <c r="BJ36" s="490"/>
      <c r="BK36" s="491" t="s">
        <v>143</v>
      </c>
      <c r="BL36" s="492"/>
      <c r="BM36" s="493"/>
      <c r="BN36" s="494">
        <v>46051</v>
      </c>
      <c r="BO36" s="495">
        <v>46065</v>
      </c>
      <c r="BP36" s="496"/>
      <c r="BQ36" s="497" t="s">
        <v>144</v>
      </c>
      <c r="BR36" s="464">
        <f>CM31+CO31+CP31</f>
        <v>109478.65195620438</v>
      </c>
      <c r="BS36" s="498"/>
      <c r="BT36" s="466"/>
      <c r="BU36" s="467"/>
      <c r="BV36" s="468"/>
      <c r="BW36" s="469"/>
      <c r="BX36" s="499"/>
      <c r="BY36" s="424"/>
      <c r="BZ36" s="424"/>
      <c r="CA36" s="424"/>
      <c r="CB36" s="424"/>
      <c r="CC36" s="346"/>
      <c r="CD36" s="500"/>
      <c r="CE36" s="378"/>
      <c r="CF36" s="473"/>
      <c r="CG36" s="473"/>
      <c r="CH36" s="473"/>
      <c r="CI36" s="473"/>
      <c r="CJ36" s="501"/>
      <c r="CK36" s="502"/>
      <c r="CL36" s="430"/>
      <c r="CM36" s="431"/>
      <c r="CN36" s="503"/>
      <c r="CO36" s="433"/>
      <c r="CP36" s="40"/>
    </row>
    <row r="37" ht="11.5" customHeight="1" spans="4:94" x14ac:dyDescent="0.25">
      <c r="D37" s="364"/>
      <c r="E37" s="364"/>
      <c r="F37" s="504">
        <v>0</v>
      </c>
      <c r="G37" s="505" t="s">
        <v>109</v>
      </c>
      <c r="H37" s="506"/>
      <c r="I37" s="507" t="s">
        <v>145</v>
      </c>
      <c r="J37" s="507"/>
      <c r="K37" s="507"/>
      <c r="L37" s="508"/>
      <c r="M37" s="364">
        <v>824</v>
      </c>
      <c r="N37" s="364"/>
      <c r="O37" s="509">
        <f>BN7+BM8+BN9</f>
        <v>682</v>
      </c>
      <c r="P37" s="510" t="s">
        <v>109</v>
      </c>
      <c r="Q37" s="511" t="s">
        <v>146</v>
      </c>
      <c r="R37" s="512"/>
      <c r="S37" s="512"/>
      <c r="T37" s="512"/>
      <c r="U37" s="513"/>
      <c r="V37" s="403">
        <v>223</v>
      </c>
      <c r="W37" s="403"/>
      <c r="X37" s="403">
        <v>312</v>
      </c>
      <c r="Y37" s="403"/>
      <c r="Z37" s="514">
        <v>709</v>
      </c>
      <c r="AA37" s="514"/>
      <c r="AB37" s="2" t="s">
        <v>147</v>
      </c>
      <c r="AH37" s="443"/>
      <c r="AI37" s="515"/>
      <c r="AJ37" s="516"/>
      <c r="AK37" s="516"/>
      <c r="AL37" s="516"/>
      <c r="AM37" s="516"/>
      <c r="AN37" s="516"/>
      <c r="AO37" s="516"/>
      <c r="AP37" s="516"/>
      <c r="AQ37" s="447"/>
      <c r="AR37" s="447"/>
      <c r="AS37" s="447"/>
      <c r="AT37" s="447"/>
      <c r="AU37" s="448"/>
      <c r="AV37" s="408"/>
      <c r="AW37" s="517"/>
      <c r="AX37" s="518"/>
      <c r="AY37" s="519"/>
      <c r="AZ37" s="519"/>
      <c r="BA37" s="519"/>
      <c r="BB37" s="519"/>
      <c r="BC37" s="519"/>
      <c r="BD37" s="520"/>
      <c r="BE37" s="487"/>
      <c r="BF37" s="488"/>
      <c r="BG37" s="488"/>
      <c r="BH37" s="489"/>
      <c r="BI37" s="408"/>
      <c r="BJ37" s="490"/>
      <c r="BK37" s="491" t="s">
        <v>148</v>
      </c>
      <c r="BL37" s="492"/>
      <c r="BM37" s="493"/>
      <c r="BN37" s="494">
        <v>46008</v>
      </c>
      <c r="BO37" s="495">
        <v>46034</v>
      </c>
      <c r="BP37" s="496"/>
      <c r="BQ37" s="521" t="s">
        <v>149</v>
      </c>
      <c r="BR37" s="522" t="s">
        <v>150</v>
      </c>
      <c r="BS37" s="498"/>
      <c r="BT37" s="523"/>
      <c r="BU37" s="463"/>
      <c r="BV37" s="524"/>
      <c r="BW37" s="525"/>
      <c r="BX37" s="526"/>
      <c r="BY37" s="424"/>
      <c r="BZ37" s="424"/>
      <c r="CA37" s="424"/>
      <c r="CB37" s="424"/>
      <c r="CC37" s="346"/>
      <c r="CD37" s="471"/>
      <c r="CE37" s="378"/>
      <c r="CF37" s="473"/>
      <c r="CG37" s="473"/>
      <c r="CH37" s="473"/>
      <c r="CI37" s="473"/>
      <c r="CJ37" s="527"/>
      <c r="CK37" s="426"/>
      <c r="CL37" s="430"/>
      <c r="CM37" s="528"/>
      <c r="CN37" s="529"/>
      <c r="CO37" s="530"/>
      <c r="CP37" s="40"/>
    </row>
    <row r="38" ht="10" customHeight="1" spans="1:94" x14ac:dyDescent="0.25">
      <c r="A38" s="391"/>
      <c r="B38" s="1" t="s">
        <v>151</v>
      </c>
      <c r="D38" s="364"/>
      <c r="E38" s="364"/>
      <c r="F38" s="531">
        <v>0</v>
      </c>
      <c r="G38" s="532" t="s">
        <v>109</v>
      </c>
      <c r="H38" s="533"/>
      <c r="I38" s="534" t="s">
        <v>152</v>
      </c>
      <c r="J38" s="534"/>
      <c r="K38" s="534"/>
      <c r="L38" s="535"/>
      <c r="M38" s="364">
        <v>160</v>
      </c>
      <c r="N38" s="364"/>
      <c r="O38" s="536">
        <f>BM9+BN10</f>
        <v>133</v>
      </c>
      <c r="P38" s="537" t="s">
        <v>109</v>
      </c>
      <c r="Q38" s="538" t="s">
        <v>153</v>
      </c>
      <c r="R38" s="539"/>
      <c r="S38" s="539"/>
      <c r="T38" s="539"/>
      <c r="U38" s="540"/>
      <c r="V38" s="403">
        <v>533</v>
      </c>
      <c r="W38" s="403"/>
      <c r="AH38" s="541"/>
      <c r="AI38" s="542"/>
      <c r="AJ38" s="543"/>
      <c r="AK38" s="543"/>
      <c r="AL38" s="543"/>
      <c r="AM38" s="543"/>
      <c r="AN38" s="543"/>
      <c r="AO38" s="543"/>
      <c r="AP38" s="543"/>
      <c r="AQ38" s="544"/>
      <c r="AR38" s="544"/>
      <c r="AS38" s="544"/>
      <c r="AT38" s="544"/>
      <c r="AU38" s="545"/>
      <c r="AV38" s="408"/>
      <c r="AW38" s="546"/>
      <c r="AX38" s="547"/>
      <c r="AY38" s="548"/>
      <c r="AZ38" s="548"/>
      <c r="BA38" s="548"/>
      <c r="BB38" s="548"/>
      <c r="BC38" s="548"/>
      <c r="BD38" s="549"/>
      <c r="BE38" s="487"/>
      <c r="BF38" s="488"/>
      <c r="BG38" s="488"/>
      <c r="BH38" s="489"/>
      <c r="BI38" s="408"/>
      <c r="BJ38" s="550"/>
      <c r="BK38" s="551"/>
      <c r="BL38" s="552"/>
      <c r="BM38" s="553"/>
      <c r="BN38" s="554"/>
      <c r="BO38" s="555"/>
      <c r="BP38" s="496"/>
      <c r="BQ38" s="521" t="s">
        <v>154</v>
      </c>
      <c r="BR38" s="522" t="s">
        <v>150</v>
      </c>
      <c r="BS38" s="498"/>
      <c r="BT38" s="466"/>
      <c r="BU38" s="467"/>
      <c r="BV38" s="524"/>
      <c r="BW38" s="525"/>
      <c r="BX38" s="556"/>
      <c r="BY38" s="424"/>
      <c r="BZ38" s="424"/>
      <c r="CA38" s="424"/>
      <c r="CB38" s="424"/>
      <c r="CC38" s="346"/>
      <c r="CD38" s="471"/>
      <c r="CE38" s="378"/>
      <c r="CF38" s="473"/>
      <c r="CG38" s="473"/>
      <c r="CH38" s="473"/>
      <c r="CI38" s="473"/>
      <c r="CJ38" s="527"/>
      <c r="CK38" s="426"/>
      <c r="CL38" s="430"/>
      <c r="CM38" s="557"/>
      <c r="CN38" s="558"/>
      <c r="CO38" s="559"/>
      <c r="CP38" s="560"/>
    </row>
    <row r="39" ht="12" customHeight="1" spans="2:94" x14ac:dyDescent="0.25">
      <c r="B39" s="1" t="s">
        <v>155</v>
      </c>
      <c r="D39" s="364"/>
      <c r="E39" s="364"/>
      <c r="F39" s="561">
        <f>BN6+BM7</f>
        <v>682</v>
      </c>
      <c r="G39" s="562" t="s">
        <v>109</v>
      </c>
      <c r="H39" s="563"/>
      <c r="I39" s="564" t="s">
        <v>156</v>
      </c>
      <c r="J39" s="564"/>
      <c r="K39" s="564"/>
      <c r="L39" s="565"/>
      <c r="M39" s="364" t="s">
        <v>157</v>
      </c>
      <c r="N39" s="364"/>
      <c r="O39" s="566">
        <f>BM23</f>
        <v>0</v>
      </c>
      <c r="P39" s="567" t="s">
        <v>109</v>
      </c>
      <c r="Q39" s="568" t="s">
        <v>158</v>
      </c>
      <c r="R39" s="569"/>
      <c r="S39" s="569"/>
      <c r="T39" s="569"/>
      <c r="U39" s="570"/>
      <c r="V39" s="403">
        <v>758</v>
      </c>
      <c r="W39" s="403"/>
      <c r="AH39" s="571"/>
      <c r="AI39" s="571"/>
      <c r="AJ39" s="571"/>
      <c r="AK39" s="572"/>
      <c r="AL39" s="573"/>
      <c r="AM39" s="572"/>
      <c r="AN39" s="572"/>
      <c r="AO39" s="408"/>
      <c r="AP39" s="571"/>
      <c r="AQ39" s="571"/>
      <c r="AR39" s="571"/>
      <c r="AS39" s="571"/>
      <c r="AT39" s="571"/>
      <c r="AU39" s="571"/>
      <c r="AV39" s="571"/>
      <c r="AW39" s="574"/>
      <c r="AX39" s="575"/>
      <c r="AY39" s="576"/>
      <c r="AZ39" s="576"/>
      <c r="BA39" s="576"/>
      <c r="BB39" s="576"/>
      <c r="BC39" s="576"/>
      <c r="BD39" s="577"/>
      <c r="BE39" s="578"/>
      <c r="BF39" s="579"/>
      <c r="BG39" s="579"/>
      <c r="BH39" s="580"/>
      <c r="BI39" s="581"/>
      <c r="BJ39" s="582"/>
      <c r="BK39" s="583"/>
      <c r="BL39" s="584"/>
      <c r="BM39" s="585"/>
      <c r="BN39" s="586"/>
      <c r="BO39" s="587"/>
      <c r="BP39" s="588"/>
      <c r="BQ39" s="467"/>
      <c r="BR39" s="522"/>
      <c r="BS39" s="498"/>
      <c r="BT39" s="589"/>
      <c r="BU39" s="590"/>
      <c r="BV39" s="591"/>
      <c r="BW39" s="592"/>
      <c r="BX39" s="556"/>
      <c r="BY39" s="424"/>
      <c r="BZ39" s="424"/>
      <c r="CA39" s="424"/>
      <c r="CB39" s="424"/>
      <c r="CC39" s="346"/>
      <c r="CD39" s="471"/>
      <c r="CE39" s="378"/>
      <c r="CF39" s="473"/>
      <c r="CG39" s="473"/>
      <c r="CH39" s="473"/>
      <c r="CI39" s="473"/>
      <c r="CJ39" s="527"/>
      <c r="CK39" s="426"/>
      <c r="CL39" s="430"/>
      <c r="CM39" s="593" t="s">
        <v>142</v>
      </c>
      <c r="CN39" s="594"/>
      <c r="CO39" s="594"/>
      <c r="CP39" s="595"/>
    </row>
    <row r="40" ht="10.25" customHeight="1" spans="2:94" x14ac:dyDescent="0.25">
      <c r="B40" s="391"/>
      <c r="D40" s="571"/>
      <c r="E40" s="571"/>
      <c r="F40" s="434">
        <v>0</v>
      </c>
      <c r="G40" s="596" t="s">
        <v>109</v>
      </c>
      <c r="H40" s="435"/>
      <c r="I40" s="436" t="s">
        <v>159</v>
      </c>
      <c r="J40" s="436"/>
      <c r="K40" s="436"/>
      <c r="L40" s="437"/>
      <c r="M40" s="364">
        <v>949</v>
      </c>
      <c r="N40" s="364"/>
      <c r="O40" s="597">
        <f>BN12+BM14</f>
        <v>257</v>
      </c>
      <c r="P40" s="598" t="s">
        <v>109</v>
      </c>
      <c r="Q40" s="599" t="s">
        <v>160</v>
      </c>
      <c r="R40" s="600"/>
      <c r="S40" s="600"/>
      <c r="T40" s="600"/>
      <c r="U40" s="601"/>
      <c r="V40" s="403">
        <v>667</v>
      </c>
      <c r="W40" s="403"/>
      <c r="AH40" s="571"/>
      <c r="AI40" s="571"/>
      <c r="AJ40" s="571"/>
      <c r="AK40" s="572"/>
      <c r="AL40" s="573"/>
      <c r="AM40" s="572"/>
      <c r="AN40" s="572"/>
      <c r="AO40" s="408"/>
      <c r="AP40" s="408"/>
      <c r="AQ40" s="408"/>
      <c r="AR40" s="408"/>
      <c r="AS40" s="572"/>
      <c r="AT40" s="572"/>
      <c r="AU40" s="572"/>
      <c r="AV40" s="572"/>
      <c r="AW40" s="572"/>
      <c r="AX40" s="571"/>
      <c r="AY40" s="571"/>
      <c r="AZ40" s="571"/>
      <c r="BA40" s="571"/>
      <c r="BB40" s="571"/>
      <c r="BC40" s="571"/>
      <c r="BD40" s="571"/>
      <c r="BE40" s="571"/>
      <c r="BF40" s="571"/>
      <c r="BG40" s="571"/>
      <c r="BH40" s="571"/>
      <c r="BI40" s="571"/>
      <c r="BJ40" s="571"/>
      <c r="BK40" s="571"/>
      <c r="BL40" s="571"/>
      <c r="BM40" s="602"/>
      <c r="BN40" s="603"/>
      <c r="BO40" s="604"/>
      <c r="BP40" s="573"/>
      <c r="BQ40" s="572"/>
      <c r="BR40" s="572"/>
      <c r="BS40" s="572"/>
      <c r="BT40" s="572"/>
      <c r="BU40" s="572"/>
      <c r="BV40" s="572"/>
      <c r="BW40" s="605"/>
      <c r="BX40" s="605"/>
      <c r="BY40" s="340"/>
      <c r="BZ40" s="340"/>
      <c r="CA40" s="340"/>
      <c r="CB40" s="340"/>
      <c r="CC40" s="346"/>
      <c r="CD40" s="471"/>
      <c r="CE40" s="378"/>
      <c r="CF40" s="473"/>
      <c r="CG40" s="473"/>
      <c r="CH40" s="473"/>
      <c r="CI40" s="473"/>
      <c r="CJ40" s="527"/>
      <c r="CK40" s="427"/>
      <c r="CL40" s="430"/>
      <c r="CM40" s="606">
        <v>6000</v>
      </c>
      <c r="CN40" s="607"/>
      <c r="CO40" s="607"/>
      <c r="CP40" s="608"/>
    </row>
    <row r="41" ht="12" customHeight="1" spans="2:94" x14ac:dyDescent="0.25">
      <c r="B41" s="609"/>
      <c r="C41" s="610" t="s">
        <v>161</v>
      </c>
      <c r="D41" s="611"/>
      <c r="E41" s="571"/>
      <c r="F41" s="612">
        <f>SUM(F33:F40)</f>
        <v>1276</v>
      </c>
      <c r="G41" s="613"/>
      <c r="H41" s="614"/>
      <c r="I41" s="614"/>
      <c r="J41" s="614"/>
      <c r="K41" s="614"/>
      <c r="L41" s="615"/>
      <c r="M41" s="364"/>
      <c r="N41" s="364"/>
      <c r="O41" s="616">
        <f>BM16+BN17</f>
        <v>682</v>
      </c>
      <c r="P41" s="617" t="s">
        <v>109</v>
      </c>
      <c r="Q41" s="618" t="s">
        <v>162</v>
      </c>
      <c r="R41" s="619"/>
      <c r="S41" s="619"/>
      <c r="T41" s="619"/>
      <c r="U41" s="620"/>
      <c r="V41" s="403">
        <v>117</v>
      </c>
      <c r="W41" s="403"/>
      <c r="AH41" s="571"/>
      <c r="AI41" s="571"/>
      <c r="AJ41" s="571"/>
      <c r="AK41" s="572"/>
      <c r="AL41" s="573"/>
      <c r="AM41" s="572"/>
      <c r="AN41" s="572"/>
      <c r="AO41" s="408"/>
      <c r="AP41" s="408"/>
      <c r="AQ41" s="408"/>
      <c r="AR41" s="408"/>
      <c r="AS41" s="572"/>
      <c r="AT41" s="572"/>
      <c r="AU41" s="572"/>
      <c r="AV41" s="572"/>
      <c r="AW41" s="572"/>
      <c r="AX41" s="571"/>
      <c r="AY41" s="571"/>
      <c r="AZ41" s="571"/>
      <c r="BA41" s="571"/>
      <c r="BB41" s="571"/>
      <c r="BC41" s="571"/>
      <c r="BD41" s="571"/>
      <c r="BE41" s="571"/>
      <c r="BF41" s="571"/>
      <c r="BG41" s="408"/>
      <c r="BH41" s="408"/>
      <c r="BI41" s="572"/>
      <c r="BJ41" s="621"/>
      <c r="BK41" s="622"/>
      <c r="BL41" s="622"/>
      <c r="BM41" s="622" t="s">
        <v>50</v>
      </c>
      <c r="BN41" s="622"/>
      <c r="BO41" s="623"/>
      <c r="BP41" s="624" t="s">
        <v>163</v>
      </c>
      <c r="BQ41" s="625"/>
      <c r="BR41" s="625"/>
      <c r="BS41" s="625"/>
      <c r="BT41" s="625"/>
      <c r="BU41" s="625"/>
      <c r="BV41" s="626"/>
      <c r="BX41" s="605"/>
      <c r="BY41" s="340"/>
      <c r="BZ41" s="340"/>
      <c r="CA41" s="340"/>
      <c r="CB41" s="340"/>
      <c r="CC41" s="346"/>
      <c r="CD41" s="377"/>
      <c r="CE41" s="378"/>
      <c r="CF41" s="627"/>
      <c r="CG41" s="627"/>
      <c r="CH41" s="627"/>
      <c r="CI41" s="627"/>
      <c r="CJ41" s="628"/>
      <c r="CK41" s="629"/>
      <c r="CL41" s="630"/>
      <c r="CM41" s="606" t="s">
        <v>116</v>
      </c>
      <c r="CN41" s="631">
        <v>46041</v>
      </c>
      <c r="CO41" s="607" t="s">
        <v>164</v>
      </c>
      <c r="CP41" s="608"/>
    </row>
    <row r="42" ht="10.25" customHeight="1" spans="4:94" x14ac:dyDescent="0.25">
      <c r="D42" s="571"/>
      <c r="E42" s="571"/>
      <c r="F42" s="571"/>
      <c r="G42" s="364"/>
      <c r="H42" s="571"/>
      <c r="I42" s="571"/>
      <c r="J42" s="571"/>
      <c r="K42" s="571"/>
      <c r="L42" s="572"/>
      <c r="M42" s="571"/>
      <c r="N42" s="571"/>
      <c r="O42" s="632" t="e">
        <f>SUM(O32:O41)</f>
        <v>#REF!</v>
      </c>
      <c r="P42" s="633"/>
      <c r="Q42" s="633"/>
      <c r="R42" s="633"/>
      <c r="S42" s="633"/>
      <c r="T42" s="633"/>
      <c r="U42" s="634"/>
      <c r="AH42" s="571"/>
      <c r="AI42" s="571"/>
      <c r="AJ42" s="571"/>
      <c r="AK42" s="572"/>
      <c r="AL42" s="572"/>
      <c r="AM42" s="572"/>
      <c r="AN42" s="572"/>
      <c r="AO42" s="572"/>
      <c r="AP42" s="572"/>
      <c r="AQ42" s="572"/>
      <c r="AR42" s="572"/>
      <c r="AS42" s="572"/>
      <c r="AT42" s="572"/>
      <c r="AU42" s="572"/>
      <c r="AV42" s="572"/>
      <c r="AW42" s="572"/>
      <c r="AX42" s="571"/>
      <c r="AY42" s="571"/>
      <c r="AZ42" s="571"/>
      <c r="BA42" s="571"/>
      <c r="BB42" s="571"/>
      <c r="BC42" s="571"/>
      <c r="BD42" s="571"/>
      <c r="BE42" s="571"/>
      <c r="BF42" s="571"/>
      <c r="BG42" s="408"/>
      <c r="BH42" s="408"/>
      <c r="BI42" s="572"/>
      <c r="BJ42" s="621"/>
      <c r="BK42" s="622"/>
      <c r="BL42" s="622"/>
      <c r="BM42" s="622"/>
      <c r="BN42" s="635" t="s">
        <v>136</v>
      </c>
      <c r="BO42" s="636" t="s">
        <v>137</v>
      </c>
      <c r="BP42" s="637" t="s">
        <v>109</v>
      </c>
      <c r="BQ42" s="638"/>
      <c r="BR42" s="638"/>
      <c r="BS42" s="638"/>
      <c r="BT42" s="639"/>
      <c r="BU42" s="640">
        <v>45992</v>
      </c>
      <c r="BV42" s="641">
        <v>46022</v>
      </c>
      <c r="BX42" s="605"/>
      <c r="BY42" s="340"/>
      <c r="BZ42" s="340"/>
      <c r="CA42" s="340"/>
      <c r="CB42" s="340"/>
      <c r="CC42" s="346"/>
      <c r="CD42" s="642"/>
      <c r="CE42" s="642"/>
      <c r="CJ42" s="556"/>
      <c r="CK42" s="643"/>
      <c r="CL42" s="643"/>
      <c r="CM42" s="644"/>
      <c r="CN42" s="607"/>
      <c r="CO42" s="607"/>
      <c r="CP42" s="608"/>
    </row>
    <row r="43" ht="9.5" customHeight="1" spans="4:94" x14ac:dyDescent="0.25">
      <c r="D43" s="571"/>
      <c r="E43" s="571"/>
      <c r="F43" s="571"/>
      <c r="G43" s="571"/>
      <c r="H43" s="571"/>
      <c r="I43" s="571"/>
      <c r="J43" s="571"/>
      <c r="K43" s="571"/>
      <c r="L43" s="571"/>
      <c r="M43" s="364"/>
      <c r="N43" s="364"/>
      <c r="O43" s="645" t="e">
        <f>F41+O42</f>
        <v>#REF!</v>
      </c>
      <c r="P43" s="571"/>
      <c r="Q43" s="571"/>
      <c r="R43" s="571"/>
      <c r="S43" s="571"/>
      <c r="T43" s="571"/>
      <c r="U43" s="571"/>
      <c r="AH43" s="571"/>
      <c r="AI43" s="571"/>
      <c r="AJ43" s="571"/>
      <c r="AK43" s="571"/>
      <c r="AL43" s="571"/>
      <c r="AM43" s="571"/>
      <c r="AN43" s="571"/>
      <c r="AO43" s="571"/>
      <c r="AP43" s="571"/>
      <c r="AQ43" s="571"/>
      <c r="AR43" s="571"/>
      <c r="AS43" s="571"/>
      <c r="AT43" s="571"/>
      <c r="AU43" s="571"/>
      <c r="AV43" s="571"/>
      <c r="AW43" s="571"/>
      <c r="AX43" s="571"/>
      <c r="AY43" s="571"/>
      <c r="AZ43" s="571"/>
      <c r="BA43" s="572"/>
      <c r="BB43" s="572"/>
      <c r="BC43" s="572"/>
      <c r="BD43" s="572"/>
      <c r="BE43" s="572"/>
      <c r="BF43" s="572"/>
      <c r="BG43" s="572"/>
      <c r="BH43" s="572"/>
      <c r="BI43" s="572"/>
      <c r="BJ43" s="646"/>
      <c r="BK43" s="647"/>
      <c r="BL43" s="648"/>
      <c r="BM43" s="649"/>
      <c r="BN43" s="650"/>
      <c r="BO43" s="651"/>
      <c r="BP43" s="652"/>
      <c r="BQ43" s="653"/>
      <c r="BR43" s="654"/>
      <c r="BS43" s="654"/>
      <c r="BT43" s="655"/>
      <c r="BU43" s="640"/>
      <c r="BV43" s="641"/>
      <c r="BX43" s="605"/>
      <c r="BY43" s="340"/>
      <c r="BZ43" s="178"/>
      <c r="CA43" s="642"/>
      <c r="CB43" s="346"/>
      <c r="CC43" s="346"/>
      <c r="CD43" s="642"/>
      <c r="CE43" s="642"/>
      <c r="CF43" s="656" t="s">
        <v>165</v>
      </c>
      <c r="CG43" s="657" t="s">
        <v>166</v>
      </c>
      <c r="CH43" s="658"/>
      <c r="CI43" s="658"/>
      <c r="CJ43" s="659"/>
      <c r="CK43" s="660"/>
      <c r="CL43" s="661"/>
      <c r="CM43" s="662"/>
      <c r="CN43" s="663"/>
      <c r="CO43" s="663"/>
      <c r="CP43" s="664"/>
    </row>
    <row r="44" ht="8" customHeight="1" spans="34:94" x14ac:dyDescent="0.25">
      <c r="AH44" s="571"/>
      <c r="AI44" s="571"/>
      <c r="AJ44" s="571"/>
      <c r="AK44" s="571"/>
      <c r="AL44" s="571"/>
      <c r="AM44" s="571"/>
      <c r="AN44" s="571"/>
      <c r="AO44" s="571"/>
      <c r="AP44" s="571"/>
      <c r="AQ44" s="571"/>
      <c r="AR44" s="571"/>
      <c r="AS44" s="571"/>
      <c r="AT44" s="571"/>
      <c r="AU44" s="571"/>
      <c r="AV44" s="571"/>
      <c r="AW44" s="571"/>
      <c r="AX44" s="571"/>
      <c r="AY44" s="571"/>
      <c r="AZ44" s="571"/>
      <c r="BA44" s="571"/>
      <c r="BB44" s="571"/>
      <c r="BC44" s="571"/>
      <c r="BD44" s="571"/>
      <c r="BE44" s="571"/>
      <c r="BF44" s="571"/>
      <c r="BG44" s="571"/>
      <c r="BH44" s="571"/>
      <c r="BI44" s="571"/>
      <c r="BJ44" s="665"/>
      <c r="BK44" s="666"/>
      <c r="BL44" s="667"/>
      <c r="BM44" s="668"/>
      <c r="BN44" s="650"/>
      <c r="BO44" s="651"/>
      <c r="BP44" s="669"/>
      <c r="BQ44" s="670"/>
      <c r="BR44" s="671"/>
      <c r="BS44" s="671"/>
      <c r="BT44" s="672"/>
      <c r="BU44" s="673"/>
      <c r="BV44" s="674"/>
      <c r="BX44" s="605"/>
      <c r="BY44" s="675"/>
      <c r="BZ44" s="605"/>
      <c r="CA44" s="676"/>
      <c r="CB44" s="676"/>
      <c r="CC44" s="676"/>
      <c r="CD44" s="676"/>
      <c r="CE44" s="605"/>
      <c r="CF44" s="677"/>
      <c r="CG44" s="678" t="s">
        <v>167</v>
      </c>
      <c r="CH44" s="678"/>
      <c r="CI44" s="678"/>
      <c r="CJ44" s="679"/>
      <c r="CK44" s="680"/>
      <c r="CL44" s="681"/>
      <c r="CM44" s="662"/>
      <c r="CN44" s="663"/>
      <c r="CO44" s="663"/>
      <c r="CP44" s="664"/>
    </row>
    <row r="45" ht="9" customHeight="1" spans="34:94" x14ac:dyDescent="0.25">
      <c r="AH45" s="571"/>
      <c r="AI45" s="571"/>
      <c r="AJ45" s="571"/>
      <c r="AK45" s="571"/>
      <c r="AL45" s="571"/>
      <c r="AM45" s="571"/>
      <c r="AN45" s="571"/>
      <c r="AO45" s="571"/>
      <c r="AP45" s="571"/>
      <c r="AQ45" s="571"/>
      <c r="AR45" s="571"/>
      <c r="AS45" s="571"/>
      <c r="AT45" s="571"/>
      <c r="AU45" s="571"/>
      <c r="AV45" s="571"/>
      <c r="AW45" s="571"/>
      <c r="AX45" s="571"/>
      <c r="AY45" s="571"/>
      <c r="AZ45" s="571"/>
      <c r="BA45" s="571"/>
      <c r="BB45" s="571"/>
      <c r="BC45" s="571"/>
      <c r="BD45" s="571"/>
      <c r="BE45" s="571"/>
      <c r="BF45" s="571"/>
      <c r="BG45" s="571"/>
      <c r="BH45" s="571"/>
      <c r="BI45" s="571"/>
      <c r="BJ45" s="682"/>
      <c r="BK45" s="683"/>
      <c r="BL45" s="684"/>
      <c r="BM45" s="685"/>
      <c r="BN45" s="650"/>
      <c r="BO45" s="651"/>
      <c r="BP45" s="669"/>
      <c r="BQ45" s="686"/>
      <c r="BR45" s="687"/>
      <c r="BS45" s="687"/>
      <c r="BT45" s="688"/>
      <c r="BU45" s="689"/>
      <c r="BV45" s="690"/>
      <c r="BX45" s="605"/>
      <c r="BY45" s="605"/>
      <c r="BZ45" s="605"/>
      <c r="CA45" s="556"/>
      <c r="CB45" s="556"/>
      <c r="CC45" s="556"/>
      <c r="CD45" s="556"/>
      <c r="CE45" s="605"/>
      <c r="CF45" s="691"/>
      <c r="CG45" s="692" t="s">
        <v>168</v>
      </c>
      <c r="CH45" s="692"/>
      <c r="CI45" s="692"/>
      <c r="CJ45" s="693"/>
      <c r="CK45" s="694"/>
      <c r="CL45" s="695"/>
      <c r="CM45" s="662"/>
      <c r="CN45" s="663"/>
      <c r="CO45" s="663"/>
      <c r="CP45" s="664"/>
    </row>
    <row r="46" ht="8" customHeight="1" spans="34:94" x14ac:dyDescent="0.25">
      <c r="AH46" s="571"/>
      <c r="AI46" s="571"/>
      <c r="AJ46" s="571"/>
      <c r="AK46" s="571"/>
      <c r="AL46" s="571"/>
      <c r="AM46" s="571"/>
      <c r="AN46" s="571"/>
      <c r="AO46" s="571"/>
      <c r="AP46" s="571"/>
      <c r="AQ46" s="571"/>
      <c r="AR46" s="571"/>
      <c r="AS46" s="571"/>
      <c r="AT46" s="571"/>
      <c r="AU46" s="571"/>
      <c r="AV46" s="571"/>
      <c r="AW46" s="571"/>
      <c r="AX46" s="571"/>
      <c r="AY46" s="571"/>
      <c r="AZ46" s="571"/>
      <c r="BA46" s="571"/>
      <c r="BB46" s="571"/>
      <c r="BC46" s="571"/>
      <c r="BD46" s="571"/>
      <c r="BE46" s="571"/>
      <c r="BF46" s="571"/>
      <c r="BG46" s="571"/>
      <c r="BH46" s="571"/>
      <c r="BI46" s="571"/>
      <c r="BJ46" s="682"/>
      <c r="BK46" s="696"/>
      <c r="BL46" s="697"/>
      <c r="BM46" s="698"/>
      <c r="BN46" s="650"/>
      <c r="BO46" s="651"/>
      <c r="BP46" s="699"/>
      <c r="BQ46" s="700"/>
      <c r="BR46" s="701"/>
      <c r="BS46" s="701"/>
      <c r="BT46" s="702"/>
      <c r="BU46" s="640"/>
      <c r="BV46" s="641"/>
      <c r="BX46" s="40"/>
      <c r="BY46" s="40"/>
      <c r="BZ46" s="40"/>
      <c r="CA46" s="556"/>
      <c r="CB46" s="556"/>
      <c r="CC46" s="556"/>
      <c r="CD46" s="556"/>
      <c r="CE46" s="40"/>
      <c r="CF46" s="691"/>
      <c r="CG46" s="692" t="s">
        <v>169</v>
      </c>
      <c r="CH46" s="692"/>
      <c r="CI46" s="692"/>
      <c r="CJ46" s="693"/>
      <c r="CK46" s="703"/>
      <c r="CL46" s="704"/>
      <c r="CM46" s="705"/>
      <c r="CN46" s="706"/>
      <c r="CO46" s="706"/>
      <c r="CP46" s="707"/>
    </row>
    <row r="47" ht="8" customHeight="1" spans="34:94" x14ac:dyDescent="0.25">
      <c r="AH47" s="571"/>
      <c r="AI47" s="571"/>
      <c r="AJ47" s="571"/>
      <c r="AK47" s="571"/>
      <c r="AL47" s="571"/>
      <c r="AM47" s="571"/>
      <c r="AN47" s="571"/>
      <c r="AO47" s="571"/>
      <c r="AP47" s="571"/>
      <c r="AQ47" s="571"/>
      <c r="AR47" s="571"/>
      <c r="AS47" s="571"/>
      <c r="AT47" s="571"/>
      <c r="AU47" s="571"/>
      <c r="AV47" s="571"/>
      <c r="AW47" s="571"/>
      <c r="AX47" s="571"/>
      <c r="AY47" s="571"/>
      <c r="AZ47" s="571"/>
      <c r="BA47" s="571"/>
      <c r="BB47" s="571"/>
      <c r="BC47" s="571"/>
      <c r="BD47" s="571"/>
      <c r="BE47" s="571"/>
      <c r="BF47" s="571"/>
      <c r="BG47" s="571"/>
      <c r="BH47" s="571"/>
      <c r="BI47" s="571"/>
      <c r="BJ47" s="708"/>
      <c r="BK47" s="709"/>
      <c r="BL47" s="710"/>
      <c r="BM47" s="711"/>
      <c r="BN47" s="650"/>
      <c r="BO47" s="712"/>
      <c r="BP47" s="713"/>
      <c r="BQ47" s="714"/>
      <c r="BR47" s="715"/>
      <c r="BS47" s="715"/>
      <c r="BT47" s="716"/>
      <c r="BU47" s="640"/>
      <c r="BV47" s="641"/>
      <c r="BW47" s="40"/>
      <c r="BX47" s="40"/>
      <c r="BY47" s="40"/>
      <c r="BZ47" s="40"/>
      <c r="CA47" s="556"/>
      <c r="CB47" s="556"/>
      <c r="CC47" s="556"/>
      <c r="CD47" s="556"/>
      <c r="CF47" s="717"/>
      <c r="CG47" s="692" t="s">
        <v>170</v>
      </c>
      <c r="CH47" s="692"/>
      <c r="CI47" s="692"/>
      <c r="CJ47" s="693"/>
      <c r="CK47" s="718"/>
      <c r="CL47" s="719"/>
      <c r="CM47" s="705"/>
      <c r="CN47" s="706"/>
      <c r="CO47" s="706"/>
      <c r="CP47" s="707"/>
    </row>
    <row r="48" ht="8" customHeight="1" spans="66:94" x14ac:dyDescent="0.25">
      <c r="BN48" s="6"/>
      <c r="BP48" s="720"/>
      <c r="BQ48" s="721"/>
      <c r="BR48" s="722"/>
      <c r="BS48" s="722"/>
      <c r="BT48" s="723"/>
      <c r="BU48" s="640"/>
      <c r="BV48" s="641"/>
      <c r="BW48" s="724"/>
      <c r="BX48" s="724"/>
      <c r="BY48" s="724"/>
      <c r="BZ48" s="724"/>
      <c r="CA48" s="556"/>
      <c r="CB48" s="556"/>
      <c r="CC48" s="556"/>
      <c r="CD48" s="556"/>
      <c r="CF48" s="717"/>
      <c r="CG48" s="692" t="s">
        <v>171</v>
      </c>
      <c r="CH48" s="692"/>
      <c r="CI48" s="692"/>
      <c r="CJ48" s="693"/>
      <c r="CK48" s="725"/>
      <c r="CL48" s="719"/>
      <c r="CM48" s="726"/>
      <c r="CN48" s="727"/>
      <c r="CO48" s="728"/>
      <c r="CP48" s="729"/>
    </row>
    <row r="49" ht="8" customHeight="1" spans="66:94" x14ac:dyDescent="0.25">
      <c r="BN49" s="6"/>
      <c r="BP49" s="730"/>
      <c r="BQ49" s="731"/>
      <c r="BR49" s="732"/>
      <c r="BS49" s="732"/>
      <c r="BT49" s="733"/>
      <c r="BU49" s="734"/>
      <c r="BV49" s="735"/>
      <c r="BW49" s="724"/>
      <c r="BX49" s="724"/>
      <c r="BY49" s="724"/>
      <c r="BZ49" s="724"/>
      <c r="CA49" s="556"/>
      <c r="CB49" s="556"/>
      <c r="CC49" s="556"/>
      <c r="CD49" s="556"/>
      <c r="CF49" s="736"/>
      <c r="CG49" s="692" t="s">
        <v>172</v>
      </c>
      <c r="CH49" s="692"/>
      <c r="CI49" s="692"/>
      <c r="CJ49" s="693"/>
      <c r="CK49" s="725"/>
      <c r="CL49" s="719"/>
      <c r="CM49" s="737"/>
      <c r="CN49" s="738"/>
      <c r="CO49" s="739"/>
      <c r="CP49" s="740"/>
    </row>
    <row r="50" ht="8" customHeight="1" spans="66:94" x14ac:dyDescent="0.25">
      <c r="BN50" s="6"/>
      <c r="BP50" s="741"/>
      <c r="BQ50" s="742"/>
      <c r="BR50" s="743"/>
      <c r="BS50" s="743"/>
      <c r="BT50" s="744"/>
      <c r="BU50" s="734"/>
      <c r="BV50" s="735"/>
      <c r="BW50" s="6"/>
      <c r="BX50" s="6"/>
      <c r="BY50" s="6"/>
      <c r="BZ50" s="6"/>
      <c r="CA50" s="556"/>
      <c r="CB50" s="556"/>
      <c r="CC50" s="556"/>
      <c r="CD50" s="556"/>
      <c r="CF50" s="745" t="s">
        <v>173</v>
      </c>
      <c r="CG50" s="746" t="s">
        <v>174</v>
      </c>
      <c r="CH50" s="746"/>
      <c r="CI50" s="746"/>
      <c r="CJ50" s="747"/>
      <c r="CK50" s="748"/>
      <c r="CL50" s="749"/>
      <c r="CM50" s="750"/>
      <c r="CN50" s="751"/>
      <c r="CO50" s="752"/>
      <c r="CP50" s="753"/>
    </row>
    <row r="51" ht="8" customHeight="1" spans="66:94" x14ac:dyDescent="0.25">
      <c r="BN51" s="6"/>
      <c r="BP51" s="741"/>
      <c r="BQ51" s="742"/>
      <c r="BR51" s="743"/>
      <c r="BS51" s="743"/>
      <c r="BT51" s="744"/>
      <c r="BU51" s="673"/>
      <c r="BV51" s="674"/>
      <c r="BW51" s="6"/>
      <c r="BX51" s="6"/>
      <c r="BY51" s="6"/>
      <c r="BZ51" s="724"/>
      <c r="CA51" s="556"/>
      <c r="CB51" s="556"/>
      <c r="CC51" s="556"/>
      <c r="CD51" s="556"/>
      <c r="CF51" s="754"/>
      <c r="CG51" s="755" t="s">
        <v>175</v>
      </c>
      <c r="CH51" s="755"/>
      <c r="CI51" s="755"/>
      <c r="CJ51" s="756"/>
      <c r="CK51" s="675"/>
      <c r="CL51" s="6"/>
      <c r="CM51" s="757"/>
      <c r="CN51" s="757"/>
      <c r="CO51" s="757"/>
      <c r="CP51" s="724"/>
    </row>
    <row r="52" ht="8" customHeight="1" spans="66:92" x14ac:dyDescent="0.25">
      <c r="BN52" s="6"/>
      <c r="BP52" s="6"/>
      <c r="BR52" s="6"/>
      <c r="BS52" s="6"/>
      <c r="BT52" s="6"/>
      <c r="BU52" s="6"/>
      <c r="BV52" s="6"/>
      <c r="BW52" s="6"/>
      <c r="BX52" s="6"/>
      <c r="BY52" s="6"/>
      <c r="CA52" s="556"/>
      <c r="CB52" s="556"/>
      <c r="CC52" s="556"/>
      <c r="CD52" s="556"/>
      <c r="CF52" s="745" t="s">
        <v>176</v>
      </c>
      <c r="CG52" s="746" t="s">
        <v>177</v>
      </c>
      <c r="CH52" s="746"/>
      <c r="CI52" s="746"/>
      <c r="CJ52" s="747"/>
      <c r="CK52" s="6"/>
      <c r="CL52" s="6"/>
      <c r="CM52" s="6"/>
      <c r="CN52" s="6"/>
    </row>
    <row r="53" ht="8" customHeight="1" spans="66:92" x14ac:dyDescent="0.25">
      <c r="BN53" s="6"/>
      <c r="BP53" s="6"/>
      <c r="BR53" s="6"/>
      <c r="BS53" s="6"/>
      <c r="BT53" s="6"/>
      <c r="BU53" s="6"/>
      <c r="BV53" s="6"/>
      <c r="BW53" s="6"/>
      <c r="BX53" s="6"/>
      <c r="BY53" s="6"/>
      <c r="BZ53" s="724"/>
      <c r="CA53" s="556"/>
      <c r="CB53" s="556"/>
      <c r="CC53" s="556"/>
      <c r="CD53" s="556"/>
      <c r="CF53" s="758"/>
      <c r="CG53" s="759" t="s">
        <v>178</v>
      </c>
      <c r="CH53" s="759"/>
      <c r="CI53" s="759"/>
      <c r="CJ53" s="760"/>
      <c r="CK53" s="6"/>
      <c r="CL53" s="6"/>
      <c r="CM53" s="6"/>
      <c r="CN53" s="6"/>
    </row>
    <row r="54" ht="8" customHeight="1" spans="66:92" x14ac:dyDescent="0.25">
      <c r="BN54" s="6"/>
      <c r="BP54" s="6"/>
      <c r="BR54" s="6"/>
      <c r="BS54" s="6"/>
      <c r="BT54" s="6"/>
      <c r="BU54" s="6"/>
      <c r="BV54" s="6"/>
      <c r="BW54" s="6"/>
      <c r="BX54" s="6"/>
      <c r="BY54" s="6"/>
      <c r="BZ54" s="6"/>
      <c r="CA54" s="556"/>
      <c r="CB54" s="556"/>
      <c r="CC54" s="556"/>
      <c r="CD54" s="556"/>
      <c r="CH54" s="6"/>
      <c r="CI54" s="6"/>
      <c r="CJ54" s="6"/>
      <c r="CK54" s="6"/>
      <c r="CL54" s="6"/>
      <c r="CM54" s="6"/>
      <c r="CN54" s="6"/>
    </row>
    <row r="55" ht="10" customHeight="1" spans="66:94" x14ac:dyDescent="0.25">
      <c r="BN55" s="6"/>
      <c r="BP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H55" s="6"/>
      <c r="CI55" s="6"/>
      <c r="CJ55" s="6"/>
      <c r="CK55" s="6"/>
      <c r="CL55" s="6"/>
      <c r="CM55" s="470"/>
      <c r="CN55" s="470"/>
      <c r="CO55" s="761"/>
      <c r="CP55" s="761"/>
    </row>
  </sheetData>
  <mergeCells count="108">
    <mergeCell ref="BD1:BI1"/>
    <mergeCell ref="I2:L2"/>
    <mergeCell ref="BD2:BI2"/>
    <mergeCell ref="BS3:BV3"/>
    <mergeCell ref="BW3:BY3"/>
    <mergeCell ref="B3:B4"/>
    <mergeCell ref="CA3:CA4"/>
    <mergeCell ref="CD3:CD4"/>
    <mergeCell ref="CF3:CF4"/>
    <mergeCell ref="CM3:CM5"/>
    <mergeCell ref="CN3:CN5"/>
    <mergeCell ref="CO3:CO5"/>
    <mergeCell ref="CP3:CP5"/>
    <mergeCell ref="I32:L32"/>
    <mergeCell ref="M32:N32"/>
    <mergeCell ref="Q32:U32"/>
    <mergeCell ref="V32:W32"/>
    <mergeCell ref="X32:Y32"/>
    <mergeCell ref="Z32:AA32"/>
    <mergeCell ref="I33:L33"/>
    <mergeCell ref="M33:N33"/>
    <mergeCell ref="Q33:U33"/>
    <mergeCell ref="V33:W33"/>
    <mergeCell ref="CQ33:CR33"/>
    <mergeCell ref="I34:L34"/>
    <mergeCell ref="M34:N34"/>
    <mergeCell ref="Q34:U34"/>
    <mergeCell ref="V34:W34"/>
    <mergeCell ref="AH34:AP34"/>
    <mergeCell ref="AQ34:AU34"/>
    <mergeCell ref="AW34:BD34"/>
    <mergeCell ref="BE34:BH34"/>
    <mergeCell ref="BM34:BN34"/>
    <mergeCell ref="I35:L35"/>
    <mergeCell ref="M35:N35"/>
    <mergeCell ref="Q35:U35"/>
    <mergeCell ref="V35:W35"/>
    <mergeCell ref="AI35:AP35"/>
    <mergeCell ref="AQ35:AU35"/>
    <mergeCell ref="AX35:BD35"/>
    <mergeCell ref="BE35:BH35"/>
    <mergeCell ref="D36:E36"/>
    <mergeCell ref="I36:L36"/>
    <mergeCell ref="M36:N36"/>
    <mergeCell ref="Q36:U36"/>
    <mergeCell ref="V36:W36"/>
    <mergeCell ref="AI36:AP36"/>
    <mergeCell ref="AQ36:AU36"/>
    <mergeCell ref="AX36:BD36"/>
    <mergeCell ref="BE36:BH36"/>
    <mergeCell ref="BK36:BM36"/>
    <mergeCell ref="D37:E37"/>
    <mergeCell ref="I37:L37"/>
    <mergeCell ref="M37:N37"/>
    <mergeCell ref="Q37:U37"/>
    <mergeCell ref="V37:W37"/>
    <mergeCell ref="X37:Y37"/>
    <mergeCell ref="Z37:AA37"/>
    <mergeCell ref="AI37:AP37"/>
    <mergeCell ref="AQ37:AU37"/>
    <mergeCell ref="AX37:BD37"/>
    <mergeCell ref="BE37:BH37"/>
    <mergeCell ref="BK37:BM37"/>
    <mergeCell ref="D38:E38"/>
    <mergeCell ref="I38:L38"/>
    <mergeCell ref="M38:N38"/>
    <mergeCell ref="Q38:U38"/>
    <mergeCell ref="V38:W38"/>
    <mergeCell ref="AI38:AP38"/>
    <mergeCell ref="AQ38:AU38"/>
    <mergeCell ref="AX38:BD38"/>
    <mergeCell ref="BE38:BH38"/>
    <mergeCell ref="BK38:BM38"/>
    <mergeCell ref="D39:E39"/>
    <mergeCell ref="I39:L39"/>
    <mergeCell ref="M39:N39"/>
    <mergeCell ref="Q39:U39"/>
    <mergeCell ref="V39:W39"/>
    <mergeCell ref="AX39:BD39"/>
    <mergeCell ref="BE39:BH39"/>
    <mergeCell ref="BK39:BM39"/>
    <mergeCell ref="CM39:CP39"/>
    <mergeCell ref="I40:L40"/>
    <mergeCell ref="M40:N40"/>
    <mergeCell ref="Q40:U40"/>
    <mergeCell ref="V40:W40"/>
    <mergeCell ref="M41:N41"/>
    <mergeCell ref="Q41:U41"/>
    <mergeCell ref="V41:W41"/>
    <mergeCell ref="BP41:BV41"/>
    <mergeCell ref="BQ42:BT42"/>
    <mergeCell ref="M43:N43"/>
    <mergeCell ref="BK43:BM43"/>
    <mergeCell ref="BQ43:BT43"/>
    <mergeCell ref="CG43:CJ43"/>
    <mergeCell ref="BK44:BM44"/>
    <mergeCell ref="BQ44:BT44"/>
    <mergeCell ref="CA44:CD44"/>
    <mergeCell ref="BK45:BM45"/>
    <mergeCell ref="BQ45:BT45"/>
    <mergeCell ref="BK46:BM46"/>
    <mergeCell ref="BQ46:BT46"/>
    <mergeCell ref="BK47:BM47"/>
    <mergeCell ref="BQ47:BT47"/>
    <mergeCell ref="BQ48:BT48"/>
    <mergeCell ref="BQ49:BT49"/>
    <mergeCell ref="BQ50:BT50"/>
    <mergeCell ref="BQ51:BT51"/>
  </mergeCells>
  <pageMargins left="0.25" right="0.25" top="0.75" bottom="0.75" header="0.3" footer="0.3"/>
  <pageSetup paperSize="9" orientation="landscape" horizontalDpi="4294967295" verticalDpi="4294967295" scale="130" fitToWidth="0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Анна</dc:creator>
  <cp:lastModifiedBy>Microsoft Office User</cp:lastModifiedBy>
  <cp:lastPrinted>2025-03-11T05:58:16Z</cp:lastPrinted>
  <dcterms:created xsi:type="dcterms:W3CDTF">2024-07-05T10:13:33Z</dcterms:created>
  <dcterms:modified xsi:type="dcterms:W3CDTF">2026-03-22T16:25:27Z</dcterms:modified>
</cp:coreProperties>
</file>
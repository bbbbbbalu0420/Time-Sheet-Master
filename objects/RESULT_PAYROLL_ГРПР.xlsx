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ikhailkalinin/Desktop/workSPOT/veo3/ЗАРПЛАТА ЧАСЫ БОЛЬШАЯ/23232323/"/>
    </mc:Choice>
  </mc:AlternateContent>
  <xr:revisionPtr revIDLastSave="0" documentId="13_ncr:1_{FDAB64BD-91F5-E44F-8EBB-A53BF82FC756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Ведомость" sheetId="1" r:id="rId1"/>
  </sheets>
  <definedNames>
    <definedName name="_xlnm._FilterDatabase" localSheetId="0" hidden="1">Ведомость!$A$1:$G$35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G25" i="1" l="1"/>
  <c r="G14" i="1"/>
  <c r="G34" i="1"/>
  <c r="G2" i="1"/>
  <c r="G18" i="1"/>
  <c r="F2" i="1"/>
  <c r="F4" i="1"/>
  <c r="G4" i="1" s="1"/>
  <c r="F6" i="1"/>
  <c r="G6" i="1" s="1"/>
  <c r="F8" i="1"/>
  <c r="G8" i="1" s="1"/>
  <c r="F10" i="1"/>
  <c r="G10" i="1" s="1"/>
  <c r="F12" i="1"/>
  <c r="G12" i="1" s="1"/>
  <c r="F14" i="1"/>
  <c r="F16" i="1"/>
  <c r="G16" i="1" s="1"/>
  <c r="F18" i="1"/>
  <c r="F20" i="1"/>
  <c r="G20" i="1" s="1"/>
  <c r="F22" i="1"/>
  <c r="G22" i="1" s="1"/>
  <c r="F24" i="1"/>
  <c r="G24" i="1" s="1"/>
  <c r="F26" i="1"/>
  <c r="G26" i="1" s="1"/>
  <c r="F28" i="1"/>
  <c r="G28" i="1" s="1"/>
  <c r="F30" i="1"/>
  <c r="G30" i="1" s="1"/>
  <c r="F32" i="1"/>
  <c r="G32" i="1" s="1"/>
  <c r="F34" i="1"/>
  <c r="F17" i="1"/>
  <c r="G17" i="1" s="1"/>
  <c r="F35" i="1"/>
  <c r="G35" i="1" s="1"/>
  <c r="F3" i="1"/>
  <c r="G3" i="1" s="1"/>
  <c r="F5" i="1"/>
  <c r="G5" i="1" s="1"/>
  <c r="F7" i="1"/>
  <c r="G7" i="1" s="1"/>
  <c r="F9" i="1"/>
  <c r="G9" i="1" s="1"/>
  <c r="F11" i="1"/>
  <c r="G11" i="1" s="1"/>
  <c r="F13" i="1"/>
  <c r="G13" i="1" s="1"/>
  <c r="F15" i="1"/>
  <c r="G15" i="1" s="1"/>
  <c r="F19" i="1"/>
  <c r="G19" i="1" s="1"/>
  <c r="F21" i="1"/>
  <c r="G21" i="1" s="1"/>
  <c r="F23" i="1"/>
  <c r="G23" i="1" s="1"/>
  <c r="F25" i="1"/>
  <c r="F27" i="1"/>
  <c r="G27" i="1" s="1"/>
  <c r="F29" i="1"/>
  <c r="G29" i="1" s="1"/>
  <c r="F31" i="1"/>
  <c r="G31" i="1" s="1"/>
  <c r="F33" i="1"/>
  <c r="G33" i="1" s="1"/>
  <c r="G36" i="1" l="1"/>
</calcChain>
</file>

<file path=xl/sharedStrings.xml><?xml version="1.0" encoding="utf-8"?>
<sst xmlns="http://schemas.openxmlformats.org/spreadsheetml/2006/main" count="42" uniqueCount="9">
  <si>
    <t>Дата открытия</t>
  </si>
  <si>
    <t>Кассир</t>
  </si>
  <si>
    <t>Время последнего чека</t>
  </si>
  <si>
    <t>ВСЕГО</t>
  </si>
  <si>
    <t>ОКРУГЛЕНИЕ</t>
  </si>
  <si>
    <t>ОБЕД</t>
  </si>
  <si>
    <t>НАЧИСЛЕНО</t>
  </si>
  <si>
    <t>СИС. АДМИНИСТРАТОР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</si>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</sst>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\ hh:mm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double">
        <color rgb="FF4472C4"/>
      </top>
      <bottom style="double">
        <color rgb="FF4472C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cols>
    <col min="1" max="1" width="22" customWidth="1"/>
    <col min="2" max="2" width="25" customWidth="1"/>
    <col min="3" max="3" width="26" customWidth="1"/>
    <col min="4" max="4" width="12" customWidth="1"/>
    <col min="5" max="5" width="16" customWidth="1"/>
    <col min="6" max="6" width="10" customWidth="1"/>
    <col min="7" max="7" width="1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6">
        <v>44927.255555555559</v>
      </c>
      <c r="B2" s="7" t="s">
        <v>7</v>
      </c>
      <c r="C2" s="6">
        <v>44927.255555555559</v>
      </c>
      <c r="D2" s="8" t="str">
        <f t="shared" ref="D2:D35" si="0">TEXT(INT((C2-A2)*24),"00")&amp;":"&amp;TEXT(MOD((C2-A2)*1440,60),"00")</f>
        <v>00:00</v>
      </c>
      <c r="E2" s="8">
        <f t="shared" ref="E2:E35" si="1">IF(MOD((C2-A2)*1440,60)&gt;=15,INT((C2-A2)*24)+1,INT((C2-A2)*24))</f>
        <v>0</v>
      </c>
      <c r="F2" s="8">
        <f t="shared" ref="F2:F35" si="2">IF(E2&gt;12,2,1)</f>
        <v>1</v>
      </c>
      <c r="G2" s="9">
        <f t="shared" ref="G2:G35" si="3">MAX(0,E2-F2)</f>
        <v>0</v>
      </c>
    </row>
    <row r="3" spans="1:7" x14ac:dyDescent="0.2">
      <c r="A3" s="2">
        <v>44927.256249999999</v>
      </c>
      <c r="B3" s="3" t="s">
        <v>7</v>
      </c>
      <c r="C3" s="2">
        <v>44927.907638888893</v>
      </c>
      <c r="D3" s="4" t="str">
        <f t="shared" si="0"/>
        <v>15:38</v>
      </c>
      <c r="E3" s="4">
        <f t="shared" si="1"/>
        <v>16</v>
      </c>
      <c r="F3" s="4">
        <f t="shared" si="2"/>
        <v>2</v>
      </c>
      <c r="G3" s="5">
        <f t="shared" si="3"/>
        <v>14</v>
      </c>
    </row>
    <row r="4" spans="1:7" x14ac:dyDescent="0.2">
      <c r="A4" s="6">
        <v>44928.251388888893</v>
      </c>
      <c r="B4" s="7" t="s">
        <v>7</v>
      </c>
      <c r="C4" s="6">
        <v>44928.995138888888</v>
      </c>
      <c r="D4" s="8" t="str">
        <f t="shared" si="0"/>
        <v>17:51</v>
      </c>
      <c r="E4" s="8">
        <f t="shared" si="1"/>
        <v>18</v>
      </c>
      <c r="F4" s="8">
        <f t="shared" si="2"/>
        <v>2</v>
      </c>
      <c r="G4" s="9">
        <f t="shared" si="3"/>
        <v>16</v>
      </c>
    </row>
    <row r="5" spans="1:7" x14ac:dyDescent="0.2">
      <c r="A5" s="2">
        <v>44929.260416666657</v>
      </c>
      <c r="B5" s="3" t="s">
        <v>7</v>
      </c>
      <c r="C5" s="2">
        <v>44929.847916666673</v>
      </c>
      <c r="D5" s="4" t="str">
        <f t="shared" si="0"/>
        <v>14:06</v>
      </c>
      <c r="E5" s="4">
        <f t="shared" si="1"/>
        <v>14</v>
      </c>
      <c r="F5" s="4">
        <f t="shared" si="2"/>
        <v>2</v>
      </c>
      <c r="G5" s="5">
        <f t="shared" si="3"/>
        <v>12</v>
      </c>
    </row>
    <row r="6" spans="1:7" x14ac:dyDescent="0.2">
      <c r="A6" s="6">
        <v>44930.251388888893</v>
      </c>
      <c r="B6" s="7" t="s">
        <v>7</v>
      </c>
      <c r="C6" s="6">
        <v>44931.21875</v>
      </c>
      <c r="D6" s="8" t="str">
        <f t="shared" si="0"/>
        <v>23:13</v>
      </c>
      <c r="E6" s="8">
        <f t="shared" si="1"/>
        <v>23</v>
      </c>
      <c r="F6" s="8">
        <f t="shared" si="2"/>
        <v>2</v>
      </c>
      <c r="G6" s="9">
        <f t="shared" si="3"/>
        <v>21</v>
      </c>
    </row>
    <row r="7" spans="1:7" x14ac:dyDescent="0.2">
      <c r="A7" s="2">
        <v>44931.251388888893</v>
      </c>
      <c r="B7" s="3" t="s">
        <v>7</v>
      </c>
      <c r="C7" s="2">
        <v>44932.245833333327</v>
      </c>
      <c r="D7" s="4" t="str">
        <f t="shared" si="0"/>
        <v>23:52</v>
      </c>
      <c r="E7" s="4">
        <f t="shared" si="1"/>
        <v>24</v>
      </c>
      <c r="F7" s="4">
        <f t="shared" si="2"/>
        <v>2</v>
      </c>
      <c r="G7" s="5">
        <f t="shared" si="3"/>
        <v>22</v>
      </c>
    </row>
    <row r="8" spans="1:7" x14ac:dyDescent="0.2">
      <c r="A8" s="6">
        <v>44932.256249999999</v>
      </c>
      <c r="B8" s="7" t="s">
        <v>7</v>
      </c>
      <c r="C8" s="6">
        <v>44933.241666666669</v>
      </c>
      <c r="D8" s="8" t="str">
        <f t="shared" si="0"/>
        <v>23:39</v>
      </c>
      <c r="E8" s="8">
        <f t="shared" si="1"/>
        <v>24</v>
      </c>
      <c r="F8" s="8">
        <f t="shared" si="2"/>
        <v>2</v>
      </c>
      <c r="G8" s="9">
        <f t="shared" si="3"/>
        <v>22</v>
      </c>
    </row>
    <row r="9" spans="1:7" x14ac:dyDescent="0.2">
      <c r="A9" s="2">
        <v>44933.25277777778</v>
      </c>
      <c r="B9" s="3" t="s">
        <v>7</v>
      </c>
      <c r="C9" s="2">
        <v>44933.87222222222</v>
      </c>
      <c r="D9" s="4" t="str">
        <f t="shared" si="0"/>
        <v>14:52</v>
      </c>
      <c r="E9" s="4">
        <f t="shared" si="1"/>
        <v>15</v>
      </c>
      <c r="F9" s="4">
        <f t="shared" si="2"/>
        <v>2</v>
      </c>
      <c r="G9" s="5">
        <f t="shared" si="3"/>
        <v>13</v>
      </c>
    </row>
    <row r="10" spans="1:7" x14ac:dyDescent="0.2">
      <c r="A10" s="6">
        <v>44934.254166666673</v>
      </c>
      <c r="B10" s="7" t="s">
        <v>7</v>
      </c>
      <c r="C10" s="6">
        <v>44935.170138888891</v>
      </c>
      <c r="D10" s="8" t="str">
        <f t="shared" si="0"/>
        <v>21:59</v>
      </c>
      <c r="E10" s="8">
        <f t="shared" si="1"/>
        <v>22</v>
      </c>
      <c r="F10" s="8">
        <f t="shared" si="2"/>
        <v>2</v>
      </c>
      <c r="G10" s="9">
        <f t="shared" si="3"/>
        <v>20</v>
      </c>
    </row>
    <row r="11" spans="1:7" x14ac:dyDescent="0.2">
      <c r="A11" s="2">
        <v>44935.26458333333</v>
      </c>
      <c r="B11" s="3" t="s">
        <v>7</v>
      </c>
      <c r="C11" s="2">
        <v>44936.240972222222</v>
      </c>
      <c r="D11" s="4" t="str">
        <f t="shared" si="0"/>
        <v>23:26</v>
      </c>
      <c r="E11" s="4">
        <f t="shared" si="1"/>
        <v>24</v>
      </c>
      <c r="F11" s="4">
        <f t="shared" si="2"/>
        <v>2</v>
      </c>
      <c r="G11" s="5">
        <f t="shared" si="3"/>
        <v>22</v>
      </c>
    </row>
    <row r="12" spans="1:7" x14ac:dyDescent="0.2">
      <c r="A12" s="6">
        <v>44936.255555555559</v>
      </c>
      <c r="B12" s="7" t="s">
        <v>7</v>
      </c>
      <c r="C12" s="6">
        <v>44936.259722222218</v>
      </c>
      <c r="D12" s="8" t="str">
        <f t="shared" si="0"/>
        <v>00:06</v>
      </c>
      <c r="E12" s="8">
        <f t="shared" si="1"/>
        <v>0</v>
      </c>
      <c r="F12" s="8">
        <f t="shared" si="2"/>
        <v>1</v>
      </c>
      <c r="G12" s="9">
        <f t="shared" si="3"/>
        <v>0</v>
      </c>
    </row>
    <row r="13" spans="1:7" x14ac:dyDescent="0.2">
      <c r="A13" s="2">
        <v>44936.261111111111</v>
      </c>
      <c r="B13" s="3" t="s">
        <v>7</v>
      </c>
      <c r="C13" s="2">
        <v>44937.202777777777</v>
      </c>
      <c r="D13" s="4" t="str">
        <f t="shared" si="0"/>
        <v>22:36</v>
      </c>
      <c r="E13" s="4">
        <f t="shared" si="1"/>
        <v>23</v>
      </c>
      <c r="F13" s="4">
        <f t="shared" si="2"/>
        <v>2</v>
      </c>
      <c r="G13" s="5">
        <f t="shared" si="3"/>
        <v>21</v>
      </c>
    </row>
    <row r="14" spans="1:7" x14ac:dyDescent="0.2">
      <c r="A14" s="6">
        <v>44937.252083333333</v>
      </c>
      <c r="B14" s="7" t="s">
        <v>7</v>
      </c>
      <c r="C14" s="6">
        <v>44938.248611111107</v>
      </c>
      <c r="D14" s="8" t="str">
        <f t="shared" si="0"/>
        <v>23:55</v>
      </c>
      <c r="E14" s="8">
        <f t="shared" si="1"/>
        <v>24</v>
      </c>
      <c r="F14" s="8">
        <f t="shared" si="2"/>
        <v>2</v>
      </c>
      <c r="G14" s="9">
        <f t="shared" si="3"/>
        <v>22</v>
      </c>
    </row>
    <row r="15" spans="1:7" x14ac:dyDescent="0.2">
      <c r="A15" s="2">
        <v>44938.261111111111</v>
      </c>
      <c r="B15" s="3" t="s">
        <v>7</v>
      </c>
      <c r="C15" s="2">
        <v>44939.163888888892</v>
      </c>
      <c r="D15" s="4" t="str">
        <f t="shared" si="0"/>
        <v>21:40</v>
      </c>
      <c r="E15" s="4">
        <f t="shared" si="1"/>
        <v>22</v>
      </c>
      <c r="F15" s="4">
        <f t="shared" si="2"/>
        <v>2</v>
      </c>
      <c r="G15" s="5">
        <f t="shared" si="3"/>
        <v>20</v>
      </c>
    </row>
    <row r="16" spans="1:7" x14ac:dyDescent="0.2">
      <c r="A16" s="6">
        <v>44939.250694444447</v>
      </c>
      <c r="B16" s="7" t="s">
        <v>7</v>
      </c>
      <c r="C16" s="6">
        <v>44939.89166666667</v>
      </c>
      <c r="D16" s="8" t="str">
        <f t="shared" si="0"/>
        <v>15:23</v>
      </c>
      <c r="E16" s="8">
        <f t="shared" si="1"/>
        <v>16</v>
      </c>
      <c r="F16" s="8">
        <f t="shared" si="2"/>
        <v>2</v>
      </c>
      <c r="G16" s="9">
        <f t="shared" si="3"/>
        <v>14</v>
      </c>
    </row>
    <row r="17" spans="1:7" x14ac:dyDescent="0.2">
      <c r="A17" s="2">
        <v>44940.255555555559</v>
      </c>
      <c r="B17" s="3" t="s">
        <v>7</v>
      </c>
      <c r="C17" s="2">
        <v>44940.842361111107</v>
      </c>
      <c r="D17" s="4" t="str">
        <f t="shared" si="0"/>
        <v>14:05</v>
      </c>
      <c r="E17" s="4">
        <f t="shared" si="1"/>
        <v>14</v>
      </c>
      <c r="F17" s="4">
        <f t="shared" si="2"/>
        <v>2</v>
      </c>
      <c r="G17" s="5">
        <f t="shared" si="3"/>
        <v>12</v>
      </c>
    </row>
    <row r="18" spans="1:7" x14ac:dyDescent="0.2">
      <c r="A18" s="6">
        <v>44941.261805555558</v>
      </c>
      <c r="B18" s="7" t="s">
        <v>7</v>
      </c>
      <c r="C18" s="6">
        <v>44942.213888888888</v>
      </c>
      <c r="D18" s="8" t="str">
        <f t="shared" si="0"/>
        <v>22:51</v>
      </c>
      <c r="E18" s="8">
        <f t="shared" si="1"/>
        <v>23</v>
      </c>
      <c r="F18" s="8">
        <f t="shared" si="2"/>
        <v>2</v>
      </c>
      <c r="G18" s="9">
        <f t="shared" si="3"/>
        <v>21</v>
      </c>
    </row>
    <row r="19" spans="1:7" x14ac:dyDescent="0.2">
      <c r="A19" s="2">
        <v>44942.252083333333</v>
      </c>
      <c r="B19" s="3" t="s">
        <v>7</v>
      </c>
      <c r="C19" s="2">
        <v>44943.208333333343</v>
      </c>
      <c r="D19" s="4" t="str">
        <f t="shared" si="0"/>
        <v>22:57</v>
      </c>
      <c r="E19" s="4">
        <f t="shared" si="1"/>
        <v>23</v>
      </c>
      <c r="F19" s="4">
        <f t="shared" si="2"/>
        <v>2</v>
      </c>
      <c r="G19" s="5">
        <f t="shared" si="3"/>
        <v>21</v>
      </c>
    </row>
    <row r="20" spans="1:7" x14ac:dyDescent="0.2">
      <c r="A20" s="6">
        <v>44943.25</v>
      </c>
      <c r="B20" s="7" t="s">
        <v>7</v>
      </c>
      <c r="C20" s="6">
        <v>44944.180555555547</v>
      </c>
      <c r="D20" s="8" t="str">
        <f t="shared" si="0"/>
        <v>22:20</v>
      </c>
      <c r="E20" s="8">
        <f t="shared" si="1"/>
        <v>23</v>
      </c>
      <c r="F20" s="8">
        <f t="shared" si="2"/>
        <v>2</v>
      </c>
      <c r="G20" s="9">
        <f t="shared" si="3"/>
        <v>21</v>
      </c>
    </row>
    <row r="21" spans="1:7" x14ac:dyDescent="0.2">
      <c r="A21" s="2">
        <v>44944.249305555553</v>
      </c>
      <c r="B21" s="3" t="s">
        <v>7</v>
      </c>
      <c r="C21" s="2">
        <v>44945.229861111111</v>
      </c>
      <c r="D21" s="4" t="str">
        <f t="shared" si="0"/>
        <v>23:32</v>
      </c>
      <c r="E21" s="4">
        <f t="shared" si="1"/>
        <v>24</v>
      </c>
      <c r="F21" s="4">
        <f t="shared" si="2"/>
        <v>2</v>
      </c>
      <c r="G21" s="5">
        <f t="shared" si="3"/>
        <v>22</v>
      </c>
    </row>
    <row r="22" spans="1:7" x14ac:dyDescent="0.2">
      <c r="A22" s="6">
        <v>44945.256944444453</v>
      </c>
      <c r="B22" s="7" t="s">
        <v>7</v>
      </c>
      <c r="C22" s="6">
        <v>44946.207638888889</v>
      </c>
      <c r="D22" s="8" t="str">
        <f t="shared" si="0"/>
        <v>22:49</v>
      </c>
      <c r="E22" s="8">
        <f t="shared" si="1"/>
        <v>23</v>
      </c>
      <c r="F22" s="8">
        <f t="shared" si="2"/>
        <v>2</v>
      </c>
      <c r="G22" s="9">
        <f t="shared" si="3"/>
        <v>21</v>
      </c>
    </row>
    <row r="23" spans="1:7" x14ac:dyDescent="0.2">
      <c r="A23" s="2">
        <v>44946.252083333333</v>
      </c>
      <c r="B23" s="3" t="s">
        <v>7</v>
      </c>
      <c r="C23" s="2">
        <v>44946.793749999997</v>
      </c>
      <c r="D23" s="4" t="str">
        <f t="shared" si="0"/>
        <v>12:60</v>
      </c>
      <c r="E23" s="4">
        <f t="shared" si="1"/>
        <v>13</v>
      </c>
      <c r="F23" s="4">
        <f t="shared" si="2"/>
        <v>2</v>
      </c>
      <c r="G23" s="5">
        <f t="shared" si="3"/>
        <v>11</v>
      </c>
    </row>
    <row r="24" spans="1:7" x14ac:dyDescent="0.2">
      <c r="A24" s="6">
        <v>44947.256944444453</v>
      </c>
      <c r="B24" s="7" t="s">
        <v>7</v>
      </c>
      <c r="C24" s="6">
        <v>44947.924305555563</v>
      </c>
      <c r="D24" s="8" t="str">
        <f t="shared" si="0"/>
        <v>16:01</v>
      </c>
      <c r="E24" s="8">
        <f t="shared" si="1"/>
        <v>16</v>
      </c>
      <c r="F24" s="8">
        <f t="shared" si="2"/>
        <v>2</v>
      </c>
      <c r="G24" s="9">
        <f t="shared" si="3"/>
        <v>14</v>
      </c>
    </row>
    <row r="25" spans="1:7" x14ac:dyDescent="0.2">
      <c r="A25" s="2">
        <v>44948.252083333333</v>
      </c>
      <c r="B25" s="3" t="s">
        <v>7</v>
      </c>
      <c r="C25" s="2">
        <v>44949.171527777777</v>
      </c>
      <c r="D25" s="4" t="str">
        <f t="shared" si="0"/>
        <v>22:04</v>
      </c>
      <c r="E25" s="4">
        <f t="shared" si="1"/>
        <v>22</v>
      </c>
      <c r="F25" s="4">
        <f t="shared" si="2"/>
        <v>2</v>
      </c>
      <c r="G25" s="5">
        <f t="shared" si="3"/>
        <v>20</v>
      </c>
    </row>
    <row r="26" spans="1:7" x14ac:dyDescent="0.2">
      <c r="A26" s="6">
        <v>44949.256944444453</v>
      </c>
      <c r="B26" s="7" t="s">
        <v>7</v>
      </c>
      <c r="C26" s="6">
        <v>44950.213194444441</v>
      </c>
      <c r="D26" s="8" t="str">
        <f t="shared" si="0"/>
        <v>22:57</v>
      </c>
      <c r="E26" s="8">
        <f t="shared" si="1"/>
        <v>23</v>
      </c>
      <c r="F26" s="8">
        <f t="shared" si="2"/>
        <v>2</v>
      </c>
      <c r="G26" s="9">
        <f t="shared" si="3"/>
        <v>21</v>
      </c>
    </row>
    <row r="27" spans="1:7" x14ac:dyDescent="0.2">
      <c r="A27" s="2">
        <v>44950.254166666673</v>
      </c>
      <c r="B27" s="3" t="s">
        <v>7</v>
      </c>
      <c r="C27" s="2">
        <v>44951.239583333343</v>
      </c>
      <c r="D27" s="4" t="str">
        <f t="shared" si="0"/>
        <v>23:39</v>
      </c>
      <c r="E27" s="4">
        <f t="shared" si="1"/>
        <v>24</v>
      </c>
      <c r="F27" s="4">
        <f t="shared" si="2"/>
        <v>2</v>
      </c>
      <c r="G27" s="5">
        <f t="shared" si="3"/>
        <v>22</v>
      </c>
    </row>
    <row r="28" spans="1:7" x14ac:dyDescent="0.2">
      <c r="A28" s="6">
        <v>44951.25</v>
      </c>
      <c r="B28" s="7" t="s">
        <v>7</v>
      </c>
      <c r="C28" s="6">
        <v>44952.125</v>
      </c>
      <c r="D28" s="8" t="str">
        <f t="shared" si="0"/>
        <v>21:00</v>
      </c>
      <c r="E28" s="8">
        <f t="shared" si="1"/>
        <v>21</v>
      </c>
      <c r="F28" s="8">
        <f t="shared" si="2"/>
        <v>2</v>
      </c>
      <c r="G28" s="9">
        <f t="shared" si="3"/>
        <v>19</v>
      </c>
    </row>
    <row r="29" spans="1:7" x14ac:dyDescent="0.2">
      <c r="A29" s="2">
        <v>44952.252083333333</v>
      </c>
      <c r="B29" s="3" t="s">
        <v>7</v>
      </c>
      <c r="C29" s="2">
        <v>44952.682638888888</v>
      </c>
      <c r="D29" s="4" t="str">
        <f t="shared" si="0"/>
        <v>10:20</v>
      </c>
      <c r="E29" s="4">
        <f t="shared" si="1"/>
        <v>11</v>
      </c>
      <c r="F29" s="4">
        <f t="shared" si="2"/>
        <v>1</v>
      </c>
      <c r="G29" s="5">
        <f t="shared" si="3"/>
        <v>10</v>
      </c>
    </row>
    <row r="30" spans="1:7" x14ac:dyDescent="0.2">
      <c r="A30" s="6">
        <v>44953.25277777778</v>
      </c>
      <c r="B30" s="7" t="s">
        <v>7</v>
      </c>
      <c r="C30" s="6">
        <v>44954.188888888893</v>
      </c>
      <c r="D30" s="8" t="str">
        <f t="shared" si="0"/>
        <v>22:28</v>
      </c>
      <c r="E30" s="8">
        <f t="shared" si="1"/>
        <v>23</v>
      </c>
      <c r="F30" s="8">
        <f t="shared" si="2"/>
        <v>2</v>
      </c>
      <c r="G30" s="9">
        <f t="shared" si="3"/>
        <v>21</v>
      </c>
    </row>
    <row r="31" spans="1:7" x14ac:dyDescent="0.2">
      <c r="A31" s="2">
        <v>44954.25277777778</v>
      </c>
      <c r="B31" s="3" t="s">
        <v>7</v>
      </c>
      <c r="C31" s="2">
        <v>44955.246527777781</v>
      </c>
      <c r="D31" s="4" t="str">
        <f t="shared" si="0"/>
        <v>23:51</v>
      </c>
      <c r="E31" s="4">
        <f t="shared" si="1"/>
        <v>24</v>
      </c>
      <c r="F31" s="4">
        <f t="shared" si="2"/>
        <v>2</v>
      </c>
      <c r="G31" s="5">
        <f t="shared" si="3"/>
        <v>22</v>
      </c>
    </row>
    <row r="32" spans="1:7" x14ac:dyDescent="0.2">
      <c r="A32" s="6">
        <v>44955.252083333333</v>
      </c>
      <c r="B32" s="7" t="s">
        <v>7</v>
      </c>
      <c r="C32" s="6">
        <v>44956.229166666657</v>
      </c>
      <c r="D32" s="8" t="str">
        <f t="shared" si="0"/>
        <v>23:27</v>
      </c>
      <c r="E32" s="8">
        <f t="shared" si="1"/>
        <v>24</v>
      </c>
      <c r="F32" s="8">
        <f t="shared" si="2"/>
        <v>2</v>
      </c>
      <c r="G32" s="9">
        <f t="shared" si="3"/>
        <v>22</v>
      </c>
    </row>
    <row r="33" spans="1:7" x14ac:dyDescent="0.2">
      <c r="A33" s="2">
        <v>44956.257638888892</v>
      </c>
      <c r="B33" s="3" t="s">
        <v>7</v>
      </c>
      <c r="C33" s="2">
        <v>44957.236111111109</v>
      </c>
      <c r="D33" s="4" t="str">
        <f t="shared" si="0"/>
        <v>23:29</v>
      </c>
      <c r="E33" s="4">
        <f t="shared" si="1"/>
        <v>24</v>
      </c>
      <c r="F33" s="4">
        <f t="shared" si="2"/>
        <v>2</v>
      </c>
      <c r="G33" s="5">
        <f t="shared" si="3"/>
        <v>22</v>
      </c>
    </row>
    <row r="34" spans="1:7" x14ac:dyDescent="0.2">
      <c r="A34" s="6">
        <v>44957.252083333333</v>
      </c>
      <c r="B34" s="7" t="s">
        <v>7</v>
      </c>
      <c r="C34" s="6">
        <v>44958.230555555558</v>
      </c>
      <c r="D34" s="8" t="str">
        <f t="shared" si="0"/>
        <v>23:29</v>
      </c>
      <c r="E34" s="8">
        <f t="shared" si="1"/>
        <v>24</v>
      </c>
      <c r="F34" s="8">
        <f t="shared" si="2"/>
        <v>2</v>
      </c>
      <c r="G34" s="9">
        <f t="shared" si="3"/>
        <v>22</v>
      </c>
    </row>
    <row r="35" spans="1:7" x14ac:dyDescent="0.2">
      <c r="A35" s="2">
        <v>44958.254166666673</v>
      </c>
      <c r="B35" s="3" t="s">
        <v>7</v>
      </c>
      <c r="C35" s="2">
        <v>44958.771527777782</v>
      </c>
      <c r="D35" s="4" t="str">
        <f t="shared" si="0"/>
        <v>12:25</v>
      </c>
      <c r="E35" s="4">
        <f t="shared" si="1"/>
        <v>13</v>
      </c>
      <c r="F35" s="4">
        <f t="shared" si="2"/>
        <v>2</v>
      </c>
      <c r="G35" s="5">
        <f t="shared" si="3"/>
        <v>11</v>
      </c>
    </row>
    <row r="36" spans="1:7" ht="16" x14ac:dyDescent="0.2">
      <c r="F36" s="10" t="s">
        <v>8</v>
      </c>
      <c r="G36" s="11">
        <f>SUM(G2:G35)</f>
        <v>594</v>
      </c>
    </row>
  </sheetData>
  <autoFilter ref="A1:G3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Ведомость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2026-03-24T09:43:49Z</dcterms:created>
  <dcterms:modified xsi:type="dcterms:W3CDTF">2026-03-24T10:06:23Z</dcterms:modified>
</cp:coreProperties>
</file>